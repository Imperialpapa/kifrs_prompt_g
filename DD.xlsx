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\Desktop\명부\"/>
    </mc:Choice>
  </mc:AlternateContent>
  <xr:revisionPtr revIDLastSave="0" documentId="13_ncr:1_{2C8BD4B8-4EB7-40CF-A14F-1B42FD98BADE}" xr6:coauthVersionLast="47" xr6:coauthVersionMax="47" xr10:uidLastSave="{00000000-0000-0000-0000-000000000000}"/>
  <bookViews>
    <workbookView xWindow="9300" yWindow="5050" windowWidth="27460" windowHeight="14320" tabRatio="837" xr2:uid="{00000000-000D-0000-FFFF-FFFF00000000}"/>
  </bookViews>
  <sheets>
    <sheet name="(1-2) 기초자료_퇴직급여 " sheetId="1" r:id="rId1"/>
    <sheet name="(1-3) 기초자료_기타장기종업원급여" sheetId="2" r:id="rId2"/>
    <sheet name="(2-1) 명부 작성방법" sheetId="3" r:id="rId3"/>
    <sheet name="(2-2) 재직자 명부" sheetId="4" r:id="rId4"/>
    <sheet name="(2-3) 퇴직자 및 DC전환자 명부" sheetId="5" r:id="rId5"/>
    <sheet name="(2-4) 추가 명부(장기근속)" sheetId="6" r:id="rId6"/>
  </sheets>
  <definedNames>
    <definedName name="_xlnm._FilterDatabase" localSheetId="3" hidden="1">'(2-2) 재직자 명부'!$A$1:$S$397</definedName>
    <definedName name="_xlnm._FilterDatabase" localSheetId="4" hidden="1">'(2-3) 퇴직자 및 DC전환자 명부'!$A$1:$K$156</definedName>
    <definedName name="_xlnm._FilterDatabase" localSheetId="5" hidden="1">'(2-4) 추가 명부(장기근속)'!$A$1:$N$443</definedName>
    <definedName name="_xlnm.Print_Area" localSheetId="0">'(1-2) 기초자료_퇴직급여 '!$A$2:$L$155</definedName>
    <definedName name="_xlnm.Print_Area" localSheetId="1">'(1-3) 기초자료_기타장기종업원급여'!$B$2:$F$42</definedName>
    <definedName name="_xlnm.Print_Area" localSheetId="2">'(2-1) 명부 작성방법'!$C$2:$E$29</definedName>
    <definedName name="_xlnm.Print_Area" localSheetId="3">'(2-2) 재직자 명부'!$A$1:$M$26</definedName>
    <definedName name="_xlnm.Print_Area" localSheetId="5">'(2-4) 추가 명부(장기근속)'!$A$1:$K$17</definedName>
    <definedName name="Z_43483F5C_8E8A_4730_B6D4_5C852E982BE9_.wvu.FilterData" localSheetId="3" hidden="1">'(2-2) 재직자 명부'!$B$1:$J$1</definedName>
    <definedName name="Z_43483F5C_8E8A_4730_B6D4_5C852E982BE9_.wvu.FilterData" localSheetId="4" hidden="1">'(2-3) 퇴직자 및 DC전환자 명부'!$B$1:$I$1</definedName>
    <definedName name="Z_43483F5C_8E8A_4730_B6D4_5C852E982BE9_.wvu.FilterData" localSheetId="5" hidden="1">'(2-4) 추가 명부(장기근속)'!$B$1:$I$1</definedName>
    <definedName name="Z_43483F5C_8E8A_4730_B6D4_5C852E982BE9_.wvu.PrintArea" localSheetId="0" hidden="1">'(1-2) 기초자료_퇴직급여 '!$A$2:$L$156</definedName>
    <definedName name="Z_43483F5C_8E8A_4730_B6D4_5C852E982BE9_.wvu.PrintArea" localSheetId="1" hidden="1">'(1-3) 기초자료_기타장기종업원급여'!$B$2:$F$42</definedName>
    <definedName name="Z_43483F5C_8E8A_4730_B6D4_5C852E982BE9_.wvu.PrintArea" localSheetId="2" hidden="1">'(2-1) 명부 작성방법'!$C$2:$E$29</definedName>
    <definedName name="Z_43483F5C_8E8A_4730_B6D4_5C852E982BE9_.wvu.PrintArea" localSheetId="3" hidden="1">'(2-2) 재직자 명부'!$A$1:$L$26</definedName>
    <definedName name="Z_43483F5C_8E8A_4730_B6D4_5C852E982BE9_.wvu.PrintArea" localSheetId="5" hidden="1">'(2-4) 추가 명부(장기근속)'!$A$1:$K$17</definedName>
    <definedName name="Z_43483F5C_8E8A_4730_B6D4_5C852E982BE9_.wvu.Rows" localSheetId="0" hidden="1">'(1-2) 기초자료_퇴직급여 '!$58:$58,'(1-2) 기초자료_퇴직급여 '!$86:$98</definedName>
    <definedName name="Z_D547A7EF_E679_4E79_95F6_4600943823D7_.wvu.FilterData" localSheetId="3" hidden="1">'(2-2) 재직자 명부'!$B$1:$J$1</definedName>
    <definedName name="Z_D547A7EF_E679_4E79_95F6_4600943823D7_.wvu.FilterData" localSheetId="4" hidden="1">'(2-3) 퇴직자 및 DC전환자 명부'!$B$1:$I$1</definedName>
    <definedName name="Z_D547A7EF_E679_4E79_95F6_4600943823D7_.wvu.FilterData" localSheetId="5" hidden="1">'(2-4) 추가 명부(장기근속)'!$B$1:$I$1</definedName>
    <definedName name="Z_D547A7EF_E679_4E79_95F6_4600943823D7_.wvu.PrintArea" localSheetId="0" hidden="1">'(1-2) 기초자료_퇴직급여 '!$A$2:$L$156</definedName>
    <definedName name="Z_D547A7EF_E679_4E79_95F6_4600943823D7_.wvu.PrintArea" localSheetId="1" hidden="1">'(1-3) 기초자료_기타장기종업원급여'!$B$2:$F$42</definedName>
    <definedName name="Z_D547A7EF_E679_4E79_95F6_4600943823D7_.wvu.PrintArea" localSheetId="2" hidden="1">'(2-1) 명부 작성방법'!$C$2:$E$29</definedName>
    <definedName name="Z_D547A7EF_E679_4E79_95F6_4600943823D7_.wvu.PrintArea" localSheetId="3" hidden="1">'(2-2) 재직자 명부'!$A$1:$L$26</definedName>
    <definedName name="Z_D547A7EF_E679_4E79_95F6_4600943823D7_.wvu.PrintArea" localSheetId="5" hidden="1">'(2-4) 추가 명부(장기근속)'!$A$1:$K$17</definedName>
    <definedName name="Z_D547A7EF_E679_4E79_95F6_4600943823D7_.wvu.Rows" localSheetId="0" hidden="1">'(1-2) 기초자료_퇴직급여 '!$58:$58,'(1-2) 기초자료_퇴직급여 '!$86:$98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9" i="4" l="1"/>
  <c r="H398" i="4"/>
  <c r="P27" i="5"/>
  <c r="H27" i="5"/>
  <c r="P398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2" i="4"/>
  <c r="G68" i="6" l="1"/>
  <c r="G87" i="6"/>
  <c r="G440" i="6"/>
  <c r="G98" i="6"/>
  <c r="G97" i="6"/>
  <c r="G94" i="6"/>
  <c r="G93" i="6"/>
  <c r="G92" i="6"/>
  <c r="G91" i="6"/>
  <c r="G90" i="6"/>
  <c r="G67" i="6"/>
  <c r="D38" i="2"/>
  <c r="D37" i="2"/>
  <c r="D36" i="2"/>
  <c r="D35" i="2"/>
  <c r="H396" i="4" l="1"/>
  <c r="H395" i="4"/>
  <c r="H392" i="4"/>
  <c r="H391" i="4"/>
  <c r="H388" i="4"/>
  <c r="H387" i="4"/>
  <c r="H384" i="4"/>
  <c r="H383" i="4"/>
  <c r="H380" i="4"/>
  <c r="H379" i="4"/>
  <c r="H376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49" i="4"/>
  <c r="H341" i="4"/>
  <c r="H333" i="4"/>
  <c r="H328" i="4"/>
  <c r="H326" i="4"/>
  <c r="H325" i="4"/>
  <c r="H324" i="4"/>
  <c r="H323" i="4"/>
  <c r="H321" i="4"/>
  <c r="H320" i="4"/>
  <c r="H319" i="4"/>
  <c r="H318" i="4"/>
  <c r="H317" i="4"/>
  <c r="H316" i="4"/>
  <c r="H315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82" i="4"/>
  <c r="H279" i="4"/>
  <c r="H278" i="4"/>
  <c r="H275" i="4"/>
  <c r="H274" i="4"/>
  <c r="H271" i="4"/>
  <c r="H270" i="4"/>
  <c r="H267" i="4"/>
  <c r="H266" i="4"/>
  <c r="H263" i="4"/>
  <c r="H262" i="4"/>
  <c r="H259" i="4"/>
  <c r="H258" i="4"/>
  <c r="H255" i="4"/>
  <c r="H254" i="4"/>
  <c r="H251" i="4"/>
  <c r="H250" i="4"/>
  <c r="H246" i="4"/>
  <c r="H242" i="4"/>
  <c r="H238" i="4"/>
  <c r="H234" i="4"/>
  <c r="H230" i="4"/>
  <c r="H226" i="4"/>
  <c r="H222" i="4"/>
  <c r="H218" i="4"/>
  <c r="H214" i="4"/>
  <c r="H210" i="4"/>
  <c r="H206" i="4"/>
  <c r="H202" i="4"/>
  <c r="H199" i="4"/>
  <c r="H198" i="4"/>
  <c r="H194" i="4"/>
  <c r="H19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3" i="4"/>
  <c r="H118" i="4"/>
  <c r="H114" i="4"/>
  <c r="H113" i="4"/>
  <c r="H109" i="4"/>
  <c r="H105" i="4"/>
  <c r="H101" i="4"/>
  <c r="H97" i="4"/>
  <c r="H93" i="4"/>
  <c r="H89" i="4"/>
  <c r="H88" i="4"/>
  <c r="H84" i="4"/>
  <c r="H80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1" i="4"/>
  <c r="H10" i="4"/>
  <c r="H9" i="4"/>
  <c r="H8" i="4"/>
  <c r="H7" i="4"/>
  <c r="H6" i="4"/>
  <c r="H5" i="4"/>
  <c r="H4" i="4"/>
  <c r="H3" i="4"/>
  <c r="E17" i="3"/>
  <c r="D61" i="2"/>
  <c r="C61" i="2"/>
  <c r="D56" i="2"/>
  <c r="D48" i="2"/>
  <c r="D47" i="2"/>
  <c r="D46" i="2"/>
  <c r="D45" i="2"/>
  <c r="D41" i="2"/>
  <c r="C132" i="1"/>
  <c r="N118" i="1"/>
  <c r="N117" i="1"/>
  <c r="N116" i="1"/>
  <c r="E116" i="1"/>
  <c r="N115" i="1"/>
  <c r="N114" i="1"/>
  <c r="E114" i="1"/>
  <c r="N113" i="1"/>
  <c r="H104" i="1"/>
  <c r="I92" i="1"/>
  <c r="I97" i="1" s="1"/>
  <c r="H92" i="1"/>
  <c r="H97" i="1" s="1"/>
  <c r="G92" i="1"/>
  <c r="G97" i="1" s="1"/>
  <c r="F92" i="1"/>
  <c r="F97" i="1" s="1"/>
  <c r="I82" i="1"/>
  <c r="H82" i="1"/>
  <c r="I63" i="1" s="1"/>
  <c r="G82" i="1"/>
  <c r="F82" i="1"/>
  <c r="H77" i="1"/>
  <c r="G77" i="1"/>
  <c r="F77" i="1"/>
  <c r="F78" i="1" s="1"/>
  <c r="F83" i="1" s="1"/>
  <c r="I76" i="1"/>
  <c r="I75" i="1" s="1"/>
  <c r="I77" i="1" s="1"/>
  <c r="I74" i="1"/>
  <c r="H74" i="1"/>
  <c r="G74" i="1"/>
  <c r="F74" i="1"/>
  <c r="I71" i="1"/>
  <c r="H71" i="1"/>
  <c r="G71" i="1"/>
  <c r="F71" i="1"/>
  <c r="H68" i="1"/>
  <c r="H78" i="1" s="1"/>
  <c r="H83" i="1" s="1"/>
  <c r="G68" i="1"/>
  <c r="F68" i="1"/>
  <c r="I65" i="1"/>
  <c r="J63" i="1"/>
  <c r="I62" i="1"/>
  <c r="E117" i="1" s="1"/>
  <c r="H50" i="1"/>
  <c r="G50" i="1"/>
  <c r="F50" i="1"/>
  <c r="I49" i="1"/>
  <c r="J49" i="1" s="1"/>
  <c r="I48" i="1"/>
  <c r="J48" i="1" s="1"/>
  <c r="H47" i="1"/>
  <c r="G47" i="1"/>
  <c r="F47" i="1"/>
  <c r="J46" i="1"/>
  <c r="I45" i="1"/>
  <c r="I47" i="1" s="1"/>
  <c r="J47" i="1" s="1"/>
  <c r="H44" i="1"/>
  <c r="G44" i="1"/>
  <c r="G51" i="1" s="1"/>
  <c r="F44" i="1"/>
  <c r="F51" i="1" s="1"/>
  <c r="I43" i="1"/>
  <c r="J43" i="1" s="1"/>
  <c r="I42" i="1"/>
  <c r="I41" i="1"/>
  <c r="H39" i="1"/>
  <c r="G39" i="1"/>
  <c r="F39" i="1"/>
  <c r="I35" i="1"/>
  <c r="J35" i="1" s="1"/>
  <c r="E34" i="1"/>
  <c r="J34" i="1" s="1"/>
  <c r="D34" i="1"/>
  <c r="H33" i="1"/>
  <c r="G33" i="1"/>
  <c r="F33" i="1"/>
  <c r="I32" i="1"/>
  <c r="J32" i="1" s="1"/>
  <c r="I31" i="1"/>
  <c r="J31" i="1" s="1"/>
  <c r="I30" i="1"/>
  <c r="H29" i="1"/>
  <c r="G29" i="1"/>
  <c r="F29" i="1"/>
  <c r="N17" i="1"/>
  <c r="N16" i="1"/>
  <c r="N15" i="1"/>
  <c r="N14" i="1"/>
  <c r="N13" i="1"/>
  <c r="N12" i="1"/>
  <c r="D51" i="2" l="1"/>
  <c r="E118" i="1"/>
  <c r="H51" i="1"/>
  <c r="G78" i="1"/>
  <c r="G83" i="1" s="1"/>
  <c r="N119" i="1"/>
  <c r="G132" i="1"/>
  <c r="I33" i="1"/>
  <c r="J33" i="1" s="1"/>
  <c r="I44" i="1"/>
  <c r="J44" i="1" s="1"/>
  <c r="J45" i="1"/>
  <c r="I50" i="1"/>
  <c r="J50" i="1" s="1"/>
  <c r="I27" i="1"/>
  <c r="J27" i="1" s="1"/>
  <c r="I28" i="1"/>
  <c r="J28" i="1" s="1"/>
  <c r="I26" i="1"/>
  <c r="H2" i="4"/>
  <c r="H15" i="4"/>
  <c r="K44" i="1"/>
  <c r="I67" i="1"/>
  <c r="I68" i="1" s="1"/>
  <c r="I78" i="1" s="1"/>
  <c r="I83" i="1" s="1"/>
  <c r="G93" i="1"/>
  <c r="G94" i="1"/>
  <c r="G95" i="1"/>
  <c r="G96" i="1"/>
  <c r="E113" i="1"/>
  <c r="E115" i="1"/>
  <c r="H13" i="4"/>
  <c r="H79" i="4"/>
  <c r="H83" i="4"/>
  <c r="H87" i="4"/>
  <c r="H92" i="4"/>
  <c r="H96" i="4"/>
  <c r="H100" i="4"/>
  <c r="H104" i="4"/>
  <c r="H108" i="4"/>
  <c r="H112" i="4"/>
  <c r="H117" i="4"/>
  <c r="H121" i="4"/>
  <c r="H143" i="4"/>
  <c r="H147" i="4"/>
  <c r="H152" i="4"/>
  <c r="H156" i="4"/>
  <c r="H195" i="4"/>
  <c r="H227" i="4"/>
  <c r="J30" i="1"/>
  <c r="F93" i="1"/>
  <c r="F94" i="1"/>
  <c r="F95" i="1"/>
  <c r="F96" i="1"/>
  <c r="H140" i="4"/>
  <c r="I36" i="1"/>
  <c r="H144" i="4"/>
  <c r="H148" i="4"/>
  <c r="H201" i="4"/>
  <c r="L44" i="1"/>
  <c r="H93" i="1"/>
  <c r="H94" i="1"/>
  <c r="H95" i="1"/>
  <c r="H96" i="1"/>
  <c r="H14" i="4"/>
  <c r="H16" i="4"/>
  <c r="H82" i="4"/>
  <c r="H86" i="4"/>
  <c r="H91" i="4"/>
  <c r="H95" i="4"/>
  <c r="H99" i="4"/>
  <c r="H103" i="4"/>
  <c r="H107" i="4"/>
  <c r="H111" i="4"/>
  <c r="H116" i="4"/>
  <c r="H120" i="4"/>
  <c r="H142" i="4"/>
  <c r="H146" i="4"/>
  <c r="H150" i="4"/>
  <c r="H217" i="4"/>
  <c r="H249" i="4"/>
  <c r="J41" i="1"/>
  <c r="I93" i="1"/>
  <c r="I94" i="1"/>
  <c r="I95" i="1"/>
  <c r="I96" i="1"/>
  <c r="H81" i="4"/>
  <c r="H85" i="4"/>
  <c r="H90" i="4"/>
  <c r="H94" i="4"/>
  <c r="H98" i="4"/>
  <c r="H102" i="4"/>
  <c r="H106" i="4"/>
  <c r="H110" i="4"/>
  <c r="H115" i="4"/>
  <c r="H119" i="4"/>
  <c r="H122" i="4"/>
  <c r="H124" i="4"/>
  <c r="H141" i="4"/>
  <c r="H145" i="4"/>
  <c r="H155" i="4"/>
  <c r="H161" i="4"/>
  <c r="H165" i="4"/>
  <c r="H169" i="4"/>
  <c r="H173" i="4"/>
  <c r="H174" i="4"/>
  <c r="H182" i="4"/>
  <c r="H208" i="4"/>
  <c r="H232" i="4"/>
  <c r="H290" i="4"/>
  <c r="H153" i="4"/>
  <c r="H158" i="4"/>
  <c r="H162" i="4"/>
  <c r="H166" i="4"/>
  <c r="H170" i="4"/>
  <c r="H176" i="4"/>
  <c r="H184" i="4"/>
  <c r="H200" i="4"/>
  <c r="H204" i="4"/>
  <c r="H209" i="4"/>
  <c r="H211" i="4"/>
  <c r="H233" i="4"/>
  <c r="H243" i="4"/>
  <c r="H244" i="4"/>
  <c r="H276" i="4"/>
  <c r="H277" i="4"/>
  <c r="H281" i="4"/>
  <c r="H287" i="4"/>
  <c r="H289" i="4"/>
  <c r="H151" i="4"/>
  <c r="H159" i="4"/>
  <c r="H163" i="4"/>
  <c r="H167" i="4"/>
  <c r="H171" i="4"/>
  <c r="H178" i="4"/>
  <c r="H185" i="4"/>
  <c r="H186" i="4"/>
  <c r="H192" i="4"/>
  <c r="H224" i="4"/>
  <c r="H236" i="4"/>
  <c r="H240" i="4"/>
  <c r="H268" i="4"/>
  <c r="H269" i="4"/>
  <c r="H280" i="4"/>
  <c r="H286" i="4"/>
  <c r="H149" i="4"/>
  <c r="H154" i="4"/>
  <c r="H157" i="4"/>
  <c r="H160" i="4"/>
  <c r="H164" i="4"/>
  <c r="H168" i="4"/>
  <c r="H172" i="4"/>
  <c r="H180" i="4"/>
  <c r="H188" i="4"/>
  <c r="H216" i="4"/>
  <c r="H220" i="4"/>
  <c r="H225" i="4"/>
  <c r="H248" i="4"/>
  <c r="H252" i="4"/>
  <c r="H253" i="4"/>
  <c r="H260" i="4"/>
  <c r="H261" i="4"/>
  <c r="H283" i="4"/>
  <c r="H285" i="4"/>
  <c r="H291" i="4"/>
  <c r="H293" i="4"/>
  <c r="H189" i="4"/>
  <c r="H191" i="4"/>
  <c r="H203" i="4"/>
  <c r="H205" i="4"/>
  <c r="H207" i="4"/>
  <c r="H219" i="4"/>
  <c r="H221" i="4"/>
  <c r="H223" i="4"/>
  <c r="H235" i="4"/>
  <c r="H237" i="4"/>
  <c r="H239" i="4"/>
  <c r="H344" i="4"/>
  <c r="H385" i="4"/>
  <c r="H386" i="4"/>
  <c r="H175" i="4"/>
  <c r="H177" i="4"/>
  <c r="H179" i="4"/>
  <c r="H181" i="4"/>
  <c r="H183" i="4"/>
  <c r="H187" i="4"/>
  <c r="H193" i="4"/>
  <c r="H196" i="4"/>
  <c r="H212" i="4"/>
  <c r="H228" i="4"/>
  <c r="H241" i="4"/>
  <c r="H256" i="4"/>
  <c r="H257" i="4"/>
  <c r="H264" i="4"/>
  <c r="H265" i="4"/>
  <c r="H272" i="4"/>
  <c r="H273" i="4"/>
  <c r="H336" i="4"/>
  <c r="H197" i="4"/>
  <c r="H213" i="4"/>
  <c r="H215" i="4"/>
  <c r="H229" i="4"/>
  <c r="H231" i="4"/>
  <c r="H245" i="4"/>
  <c r="H247" i="4"/>
  <c r="H284" i="4"/>
  <c r="H288" i="4"/>
  <c r="H292" i="4"/>
  <c r="H314" i="4"/>
  <c r="H322" i="4"/>
  <c r="H338" i="4"/>
  <c r="H374" i="4"/>
  <c r="H382" i="4"/>
  <c r="H390" i="4"/>
  <c r="H329" i="4"/>
  <c r="H332" i="4"/>
  <c r="H337" i="4"/>
  <c r="H340" i="4"/>
  <c r="H345" i="4"/>
  <c r="H348" i="4"/>
  <c r="H373" i="4"/>
  <c r="H381" i="4"/>
  <c r="H389" i="4"/>
  <c r="H327" i="4"/>
  <c r="H331" i="4"/>
  <c r="H335" i="4"/>
  <c r="H339" i="4"/>
  <c r="H343" i="4"/>
  <c r="H347" i="4"/>
  <c r="H351" i="4"/>
  <c r="H330" i="4"/>
  <c r="H334" i="4"/>
  <c r="H342" i="4"/>
  <c r="H346" i="4"/>
  <c r="H350" i="4"/>
  <c r="H375" i="4"/>
  <c r="H377" i="4"/>
  <c r="H378" i="4"/>
  <c r="H393" i="4"/>
  <c r="H394" i="4"/>
  <c r="H397" i="4"/>
  <c r="I51" i="1" l="1"/>
  <c r="J51" i="1" s="1"/>
  <c r="J36" i="1"/>
  <c r="H12" i="4"/>
  <c r="I37" i="1"/>
  <c r="J37" i="1" s="1"/>
  <c r="J42" i="1"/>
  <c r="I38" i="1"/>
  <c r="J38" i="1" s="1"/>
  <c r="I98" i="1"/>
  <c r="I29" i="1"/>
  <c r="J29" i="1" s="1"/>
  <c r="J26" i="1"/>
  <c r="A17" i="4"/>
  <c r="H98" i="1"/>
  <c r="G98" i="1"/>
  <c r="F98" i="1"/>
  <c r="I39" i="1" l="1"/>
  <c r="J3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I75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사외적립자산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실제수익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운용관리수수료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H2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22</t>
        </r>
        <r>
          <rPr>
            <b/>
            <sz val="9"/>
            <color indexed="81"/>
            <rFont val="돋움"/>
            <family val="3"/>
            <charset val="129"/>
          </rPr>
          <t>년중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직원퇴직금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정산후</t>
        </r>
        <r>
          <rPr>
            <b/>
            <sz val="9"/>
            <color indexed="81"/>
            <rFont val="Tahoma"/>
            <family val="2"/>
          </rPr>
          <t xml:space="preserve"> 23</t>
        </r>
        <r>
          <rPr>
            <b/>
            <sz val="9"/>
            <color indexed="81"/>
            <rFont val="돋움"/>
            <family val="3"/>
            <charset val="129"/>
          </rPr>
          <t>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퇴직금추계액만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예상이므로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임원기간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퇴직금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추계액으로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기재함</t>
        </r>
      </text>
    </comment>
    <comment ref="H13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22</t>
        </r>
        <r>
          <rPr>
            <b/>
            <sz val="9"/>
            <color indexed="81"/>
            <rFont val="돋움"/>
            <family val="3"/>
            <charset val="129"/>
          </rPr>
          <t>년중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직원퇴직금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정산후</t>
        </r>
        <r>
          <rPr>
            <b/>
            <sz val="9"/>
            <color indexed="81"/>
            <rFont val="Tahoma"/>
            <family val="2"/>
          </rPr>
          <t xml:space="preserve"> 23</t>
        </r>
        <r>
          <rPr>
            <b/>
            <sz val="9"/>
            <color indexed="81"/>
            <rFont val="돋움"/>
            <family val="3"/>
            <charset val="129"/>
          </rPr>
          <t>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퇴직금추계액만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예상이므로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임원기간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퇴직금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추계액으로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기재함</t>
        </r>
      </text>
    </comment>
    <comment ref="G351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 xml:space="preserve">직원기간 DC가입자
임원퇴직금 추계액산정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I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입사와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동시에</t>
        </r>
        <r>
          <rPr>
            <b/>
            <sz val="9"/>
            <color indexed="81"/>
            <rFont val="Tahoma"/>
            <family val="2"/>
          </rPr>
          <t xml:space="preserve"> DC</t>
        </r>
        <r>
          <rPr>
            <b/>
            <sz val="9"/>
            <color indexed="81"/>
            <rFont val="돋움"/>
            <family val="3"/>
            <charset val="129"/>
          </rPr>
          <t>가입자는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기입할필요없음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F1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장기근속자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유급휴가등이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환산용으로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기존에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퇴직금계산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평균임금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제수당금액으로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G1" authorId="0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장기근속포상금액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확인해주면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된다고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 xml:space="preserve"> 5 :</t>
        </r>
        <r>
          <rPr>
            <b/>
            <sz val="9"/>
            <color indexed="81"/>
            <rFont val="돋움"/>
            <family val="3"/>
            <charset val="129"/>
          </rPr>
          <t xml:space="preserve">기입필요없음
</t>
        </r>
        <r>
          <rPr>
            <b/>
            <sz val="9"/>
            <color indexed="81"/>
            <rFont val="Tahoma"/>
            <family val="2"/>
          </rPr>
          <t xml:space="preserve">1~4 </t>
        </r>
        <r>
          <rPr>
            <b/>
            <sz val="9"/>
            <color indexed="81"/>
            <rFont val="돋움"/>
            <family val="3"/>
            <charset val="129"/>
          </rPr>
          <t>일때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</commentList>
</comments>
</file>

<file path=xl/sharedStrings.xml><?xml version="1.0" encoding="utf-8"?>
<sst xmlns="http://schemas.openxmlformats.org/spreadsheetml/2006/main" count="2252" uniqueCount="1264">
  <si>
    <t>(1-2) 퇴직급여채무 평가를 위한 기초자료</t>
    <phoneticPr fontId="6" type="noConversion"/>
  </si>
  <si>
    <t>* 근퇴법에서는 퇴직급여제도를 퇴직금제도, 퇴직연금제도(DB, DC, IRP)로 구분합니다.</t>
    <phoneticPr fontId="6" type="noConversion"/>
  </si>
  <si>
    <r>
      <t xml:space="preserve">   IFRS 퇴직급여채무평가 대상은 </t>
    </r>
    <r>
      <rPr>
        <b/>
        <sz val="10"/>
        <rFont val="맑은 고딕"/>
        <family val="3"/>
        <charset val="129"/>
      </rPr>
      <t>DC(IRP 포함)에 가입한 재직자를 제외한 전 종업원(1년 미만 근속자 포함)</t>
    </r>
    <r>
      <rPr>
        <sz val="10"/>
        <rFont val="맑은 고딕"/>
        <family val="3"/>
        <charset val="129"/>
      </rPr>
      <t xml:space="preserve">입니다. </t>
    </r>
    <phoneticPr fontId="6" type="noConversion"/>
  </si>
  <si>
    <r>
      <t xml:space="preserve">  따라서 기초자료, 재직자 및 퇴직자명부는 </t>
    </r>
    <r>
      <rPr>
        <b/>
        <sz val="10"/>
        <rFont val="맑은 고딕"/>
        <family val="3"/>
        <charset val="129"/>
      </rPr>
      <t>IFRS 퇴직급여채무평가 대상자에 한하여</t>
    </r>
    <r>
      <rPr>
        <sz val="10"/>
        <rFont val="맑은 고딕"/>
        <family val="3"/>
        <charset val="129"/>
      </rPr>
      <t xml:space="preserve"> 작성하여 주시기 바랍니다.</t>
    </r>
    <phoneticPr fontId="6" type="noConversion"/>
  </si>
  <si>
    <t>☞ 퇴직금 또는 기타장기종업원급여의 지급규정 변경시 변경내용을 제공하여 주시기 바랍니다. (예 : 법정제 → 누진제 등, 장기근속포상금 변경 등)</t>
    <phoneticPr fontId="6" type="noConversion"/>
  </si>
  <si>
    <t>1. 일반사항</t>
    <phoneticPr fontId="6" type="noConversion"/>
  </si>
  <si>
    <t>회사명</t>
    <phoneticPr fontId="6" type="noConversion"/>
  </si>
  <si>
    <t>담당자</t>
    <phoneticPr fontId="6" type="noConversion"/>
  </si>
  <si>
    <t>전화번호</t>
    <phoneticPr fontId="6" type="noConversion"/>
  </si>
  <si>
    <t>이메일</t>
    <phoneticPr fontId="6" type="noConversion"/>
  </si>
  <si>
    <t>결산월</t>
    <phoneticPr fontId="6" type="noConversion"/>
  </si>
  <si>
    <t>2022.12월말</t>
    <phoneticPr fontId="6" type="noConversion"/>
  </si>
  <si>
    <t>주  소</t>
    <phoneticPr fontId="6" type="noConversion"/>
  </si>
  <si>
    <t>2. 평가대상 및 퇴직급여 지급(환입) 현황</t>
    <phoneticPr fontId="6" type="noConversion"/>
  </si>
  <si>
    <t>☞ DC형 퇴직연금가입자(IRP 포함)를 제외한 전 임직원을 기준으로 작성</t>
    <phoneticPr fontId="6" type="noConversion"/>
  </si>
  <si>
    <t>☞ 금액은 모두 (+)로 기재</t>
    <phoneticPr fontId="6" type="noConversion"/>
  </si>
  <si>
    <t>☞ FALSE일 경우 명부와 자료 불일치. 확인 부탁드립니다.</t>
    <phoneticPr fontId="6" type="noConversion"/>
  </si>
  <si>
    <t>항목</t>
    <phoneticPr fontId="6" type="noConversion"/>
  </si>
  <si>
    <t>내용</t>
    <phoneticPr fontId="6" type="noConversion"/>
  </si>
  <si>
    <t>기초자료 및 명부
일치여부</t>
    <phoneticPr fontId="6" type="noConversion"/>
  </si>
  <si>
    <t>비  고</t>
    <phoneticPr fontId="6" type="noConversion"/>
  </si>
  <si>
    <t>작성기준일</t>
  </si>
  <si>
    <t>2022.03.31</t>
  </si>
  <si>
    <t>2022.06.30</t>
    <phoneticPr fontId="6" type="noConversion"/>
  </si>
  <si>
    <t>2022.09.30</t>
  </si>
  <si>
    <t>2022.12.31</t>
    <phoneticPr fontId="6" type="noConversion"/>
  </si>
  <si>
    <t>기초자료 및 명부 작성 기준일</t>
    <phoneticPr fontId="6" type="noConversion"/>
  </si>
  <si>
    <t>평가
대상</t>
    <phoneticPr fontId="6" type="noConversion"/>
  </si>
  <si>
    <t>재직자수
(명)</t>
    <phoneticPr fontId="6" type="noConversion"/>
  </si>
  <si>
    <t>임원</t>
    <phoneticPr fontId="6" type="noConversion"/>
  </si>
  <si>
    <t>작성기준일 현재 재직자 수
(2-2) 재직자 명부의 재직자 수와 일치</t>
  </si>
  <si>
    <t>false일 경우 
데이터 확인</t>
    <phoneticPr fontId="6" type="noConversion"/>
  </si>
  <si>
    <t>직원</t>
    <phoneticPr fontId="6" type="noConversion"/>
  </si>
  <si>
    <t>계약직</t>
    <phoneticPr fontId="6" type="noConversion"/>
  </si>
  <si>
    <t>합계</t>
    <phoneticPr fontId="6" type="noConversion"/>
  </si>
  <si>
    <t>퇴직자수
(명)</t>
    <phoneticPr fontId="6" type="noConversion"/>
  </si>
  <si>
    <t>기초부터 누계 퇴직자 수
(2-3) 퇴직자 명부의 퇴직자 수와 일치</t>
  </si>
  <si>
    <t xml:space="preserve">      중간정산자수</t>
    <phoneticPr fontId="6" type="noConversion"/>
  </si>
  <si>
    <t>기초부터 누계 중간정산자 수
(2-2) 재직자 명부의 당기 중간정산자 수와 일치</t>
  </si>
  <si>
    <t xml:space="preserve">      DC전환자수</t>
    <phoneticPr fontId="6" type="noConversion"/>
  </si>
  <si>
    <t>기초부터 누계 DC전환자 수
(2-3) DC전환자 명부의 DC전환자 수와 일치</t>
  </si>
  <si>
    <t>퇴직금 추계액
(원)</t>
    <phoneticPr fontId="6" type="noConversion"/>
  </si>
  <si>
    <t>작성기준일 현재 퇴직금 추계액
(2-2) 재직자 명부의 당년도 퇴직금추계액과 일치</t>
  </si>
  <si>
    <t>퇴직부채 감소
(증가)액(원)</t>
    <phoneticPr fontId="6" type="noConversion"/>
  </si>
  <si>
    <t>급여지급액
(A)</t>
    <phoneticPr fontId="6" type="noConversion"/>
  </si>
  <si>
    <t>퇴직금 (a)</t>
    <phoneticPr fontId="6" type="noConversion"/>
  </si>
  <si>
    <t>기초부터 누계 퇴직금 지급액(퇴직급여충당금 감소 처리)
(2-3) 퇴직자 명부의 퇴직금 합계와 일치</t>
  </si>
  <si>
    <r>
      <t>f</t>
    </r>
    <r>
      <rPr>
        <sz val="11"/>
        <color theme="1"/>
        <rFont val="맑은 고딕"/>
        <family val="3"/>
        <charset val="129"/>
        <scheme val="minor"/>
      </rPr>
      <t>alse일 경우
데이터 확인</t>
    </r>
    <phoneticPr fontId="6" type="noConversion"/>
  </si>
  <si>
    <t>중간정산금액 (b)</t>
    <phoneticPr fontId="6" type="noConversion"/>
  </si>
  <si>
    <t>기초부터 누계 중간정산금액(퇴직급여충당금 감소 처리)
(2-2) 재직자 명부의 중간정산액 합계와 일치</t>
  </si>
  <si>
    <t>DC 전환금 (c)</t>
    <phoneticPr fontId="6" type="noConversion"/>
  </si>
  <si>
    <t>기초부터 누계 DC전환금액(퇴직급여충당금 감소 처리)
(2-3) DC전환자 명부의 DC전환금 합계와 일치</t>
  </si>
  <si>
    <t>소계 (a+b+c)</t>
    <phoneticPr fontId="6" type="noConversion"/>
  </si>
  <si>
    <t>관계사전입(전출)액
(B)</t>
    <phoneticPr fontId="6" type="noConversion"/>
  </si>
  <si>
    <t>관계사 전입액 (d)</t>
    <phoneticPr fontId="6" type="noConversion"/>
  </si>
  <si>
    <t>기초부터 누계 관계사 전입(전출)액
(2-4) 추가 명부의 관계사 전입(전출)액 합계와 일치</t>
  </si>
  <si>
    <t>관계사 전출액 (e)</t>
    <phoneticPr fontId="6" type="noConversion"/>
  </si>
  <si>
    <t>소계 (d-e)</t>
    <phoneticPr fontId="6" type="noConversion"/>
  </si>
  <si>
    <t>사업결합(처분)액
(C)</t>
    <phoneticPr fontId="6" type="noConversion"/>
  </si>
  <si>
    <t>사업결합액 (f)</t>
    <phoneticPr fontId="6" type="noConversion"/>
  </si>
  <si>
    <t>기초부터 누계 사업결합(처분)액
(2-4) 추가 명부의 사업결합(처분) 금액 합계와 일치</t>
  </si>
  <si>
    <t>사업처분액 (g)</t>
    <phoneticPr fontId="6" type="noConversion"/>
  </si>
  <si>
    <t>소계 (f-g)</t>
    <phoneticPr fontId="6" type="noConversion"/>
  </si>
  <si>
    <t>퇴직부채 감소(증가)액 합계 (A-B-C)</t>
    <phoneticPr fontId="6" type="noConversion"/>
  </si>
  <si>
    <t>☞ 일시에 대규모의 전출입이 있을시 전출일 시점에 재평가가 필요하므로 알려주시기 바랍니다.</t>
    <phoneticPr fontId="6" type="noConversion"/>
  </si>
  <si>
    <t>3. 사외적립자산 현황</t>
    <phoneticPr fontId="6" type="noConversion"/>
  </si>
  <si>
    <t>☞ DC형 퇴직연금자산은 제외됩니다.</t>
    <phoneticPr fontId="6" type="noConversion"/>
  </si>
  <si>
    <t>☞ 사외적립자산 재직자별 가입비율이 다를 경우, 재직자 퇴직자 명부 예비란에 비율기재</t>
    <phoneticPr fontId="6" type="noConversion"/>
  </si>
  <si>
    <r>
      <t xml:space="preserve">☞ 금액은 모두 (+)로 기재, 사외적립자산은 회계(재무) 부서에 작성 의뢰하면 더 정확합니다.  (오류가 많은 부분이니 </t>
    </r>
    <r>
      <rPr>
        <b/>
        <sz val="12"/>
        <color indexed="56"/>
        <rFont val="맑은 고딕"/>
        <family val="3"/>
        <charset val="129"/>
      </rPr>
      <t>[재확인]</t>
    </r>
    <r>
      <rPr>
        <b/>
        <sz val="12"/>
        <color indexed="10"/>
        <rFont val="맑은 고딕"/>
        <family val="3"/>
        <charset val="129"/>
      </rPr>
      <t xml:space="preserve"> 부탁드립니다)</t>
    </r>
    <phoneticPr fontId="6" type="noConversion"/>
  </si>
  <si>
    <t>항  목</t>
    <phoneticPr fontId="6" type="noConversion"/>
  </si>
  <si>
    <t>내  용</t>
    <phoneticPr fontId="6" type="noConversion"/>
  </si>
  <si>
    <t>구  분</t>
    <phoneticPr fontId="6" type="noConversion"/>
  </si>
  <si>
    <t>2022.06.30</t>
  </si>
  <si>
    <r>
      <t>사외적립자산관련 자료</t>
    </r>
    <r>
      <rPr>
        <sz val="10"/>
        <color indexed="8"/>
        <rFont val="맑은 고딕"/>
        <family val="3"/>
        <charset val="129"/>
      </rPr>
      <t xml:space="preserve"> 작성 기준일</t>
    </r>
    <phoneticPr fontId="6" type="noConversion"/>
  </si>
  <si>
    <t>사외적립
자산
변동내역
(원)</t>
    <phoneticPr fontId="6" type="noConversion"/>
  </si>
  <si>
    <t>기초 잔액 (A)</t>
    <phoneticPr fontId="6" type="noConversion"/>
  </si>
  <si>
    <t>입금(수탁)액(B)</t>
    <phoneticPr fontId="6" type="noConversion"/>
  </si>
  <si>
    <t>기초부터 누계 입금(수탁)액</t>
    <phoneticPr fontId="6" type="noConversion"/>
  </si>
  <si>
    <t>급여지급(인출)액
(C)</t>
    <phoneticPr fontId="6" type="noConversion"/>
  </si>
  <si>
    <t>퇴  직 (a)</t>
    <phoneticPr fontId="6" type="noConversion"/>
  </si>
  <si>
    <t>기초부터 누계 급여지급(인출)액</t>
    <phoneticPr fontId="6" type="noConversion"/>
  </si>
  <si>
    <t>중간정산 (b)</t>
    <phoneticPr fontId="6" type="noConversion"/>
  </si>
  <si>
    <t>DC전환 (c)</t>
    <phoneticPr fontId="6" type="noConversion"/>
  </si>
  <si>
    <t>소 계 (a+b+c)</t>
    <phoneticPr fontId="6" type="noConversion"/>
  </si>
  <si>
    <t>관계사전입(전출)액
(D)</t>
    <phoneticPr fontId="6" type="noConversion"/>
  </si>
  <si>
    <t>관계사전입 (d)</t>
    <phoneticPr fontId="6" type="noConversion"/>
  </si>
  <si>
    <t>기초부터 누계 관계사전입(전출)액</t>
    <phoneticPr fontId="6" type="noConversion"/>
  </si>
  <si>
    <t>관계사전출 (e)</t>
    <phoneticPr fontId="6" type="noConversion"/>
  </si>
  <si>
    <t>소 계 (d-e)</t>
    <phoneticPr fontId="6" type="noConversion"/>
  </si>
  <si>
    <t>사업결합(처분)액
(E)</t>
    <phoneticPr fontId="6" type="noConversion"/>
  </si>
  <si>
    <t>사업결합 (f)</t>
    <phoneticPr fontId="6" type="noConversion"/>
  </si>
  <si>
    <t>기초부터 누계 사업결합(처분) 금액</t>
    <phoneticPr fontId="6" type="noConversion"/>
  </si>
  <si>
    <t>사업처분 (g)</t>
    <phoneticPr fontId="6" type="noConversion"/>
  </si>
  <si>
    <t/>
  </si>
  <si>
    <t>소 계 (f-g)</t>
    <phoneticPr fontId="6" type="noConversion"/>
  </si>
  <si>
    <t>운용성과
(F)</t>
    <phoneticPr fontId="6" type="noConversion"/>
  </si>
  <si>
    <t>투자수익 (h)</t>
    <phoneticPr fontId="6" type="noConversion"/>
  </si>
  <si>
    <t>기초부터 누계 투자수익 및 운용관리수수료 금액</t>
    <phoneticPr fontId="6" type="noConversion"/>
  </si>
  <si>
    <t>운용관리수수료(i)</t>
    <phoneticPr fontId="6" type="noConversion"/>
  </si>
  <si>
    <t>소 계 (h-i)</t>
    <phoneticPr fontId="6" type="noConversion"/>
  </si>
  <si>
    <r>
      <t>기말 잔액</t>
    </r>
    <r>
      <rPr>
        <b/>
        <sz val="10"/>
        <color indexed="10"/>
        <rFont val="맑은 고딕"/>
        <family val="3"/>
        <charset val="129"/>
      </rPr>
      <t>(산식)</t>
    </r>
    <phoneticPr fontId="6" type="noConversion"/>
  </si>
  <si>
    <t>(A+B-C+D+E+F)</t>
    <phoneticPr fontId="6" type="noConversion"/>
  </si>
  <si>
    <r>
      <t>기말 잔액</t>
    </r>
    <r>
      <rPr>
        <b/>
        <sz val="10"/>
        <color indexed="10"/>
        <rFont val="맑은 고딕"/>
        <family val="3"/>
        <charset val="129"/>
      </rPr>
      <t>(입력)</t>
    </r>
    <phoneticPr fontId="6" type="noConversion"/>
  </si>
  <si>
    <t>퇴직연금</t>
    <phoneticPr fontId="6" type="noConversion"/>
  </si>
  <si>
    <r>
      <t>작성기준일 현재</t>
    </r>
    <r>
      <rPr>
        <sz val="10"/>
        <color indexed="8"/>
        <rFont val="맑은 고딕"/>
        <family val="3"/>
        <charset val="129"/>
      </rPr>
      <t xml:space="preserve"> 사외적립자산의 공정가치
(퇴직연금사업자에게 확인)</t>
    </r>
    <phoneticPr fontId="6" type="noConversion"/>
  </si>
  <si>
    <t>퇴직신탁</t>
    <phoneticPr fontId="6" type="noConversion"/>
  </si>
  <si>
    <t>퇴직보험</t>
    <phoneticPr fontId="6" type="noConversion"/>
  </si>
  <si>
    <t>소 계</t>
  </si>
  <si>
    <t>차 이</t>
    <phoneticPr fontId="6" type="noConversion"/>
  </si>
  <si>
    <t>(산식-입력)</t>
    <phoneticPr fontId="6" type="noConversion"/>
  </si>
  <si>
    <t>차이가 발생하면 입력 오류, 입력값 확인 필요 !!!</t>
    <phoneticPr fontId="6" type="noConversion"/>
  </si>
  <si>
    <t xml:space="preserve">    국민연금전환금</t>
  </si>
  <si>
    <t>기말잔액</t>
    <phoneticPr fontId="6" type="noConversion"/>
  </si>
  <si>
    <t>국민연금전환금이 있는 경우, 입력</t>
  </si>
  <si>
    <t>공시방법</t>
    <phoneticPr fontId="6" type="noConversion"/>
  </si>
  <si>
    <t>① / ② / ③</t>
  </si>
  <si>
    <t>① / ② / ③</t>
    <phoneticPr fontId="6" type="noConversion"/>
  </si>
  <si>
    <t>① 별도 공시/② 사외적립자산에 포함/③ 미공시 중 선택</t>
    <phoneticPr fontId="6" type="noConversion"/>
  </si>
  <si>
    <t>사외적립자산
세부내역
(원)</t>
    <phoneticPr fontId="6" type="noConversion"/>
  </si>
  <si>
    <r>
      <t>현금 및</t>
    </r>
    <r>
      <rPr>
        <sz val="10"/>
        <color indexed="8"/>
        <rFont val="맑은 고딕"/>
        <family val="3"/>
        <charset val="129"/>
      </rPr>
      <t xml:space="preserve"> 현금등가물</t>
    </r>
    <phoneticPr fontId="6" type="noConversion"/>
  </si>
  <si>
    <r>
      <t xml:space="preserve">작성기준일 현재
</t>
    </r>
    <r>
      <rPr>
        <sz val="10"/>
        <color indexed="8"/>
        <rFont val="맑은 고딕"/>
        <family val="3"/>
        <charset val="129"/>
      </rPr>
      <t>사외적립자산의 자산의 세부내역</t>
    </r>
    <phoneticPr fontId="6" type="noConversion"/>
  </si>
  <si>
    <t>지분상품</t>
  </si>
  <si>
    <t>채권</t>
    <phoneticPr fontId="6" type="noConversion"/>
  </si>
  <si>
    <t>부동산</t>
    <phoneticPr fontId="6" type="noConversion"/>
  </si>
  <si>
    <t>기타자산</t>
    <phoneticPr fontId="6" type="noConversion"/>
  </si>
  <si>
    <t>사외적립자산
세부구성비
(%)</t>
    <phoneticPr fontId="6" type="noConversion"/>
  </si>
  <si>
    <t>현금 및 현금등가물</t>
  </si>
  <si>
    <t>(자동계산)</t>
    <phoneticPr fontId="6" type="noConversion"/>
  </si>
  <si>
    <t>4. 퇴직급여제도의 주요 사항</t>
    <phoneticPr fontId="6" type="noConversion"/>
  </si>
  <si>
    <t>YES</t>
    <phoneticPr fontId="6" type="noConversion"/>
  </si>
  <si>
    <t>법정제</t>
    <phoneticPr fontId="6" type="noConversion"/>
  </si>
  <si>
    <t>예 (호봉제)</t>
    <phoneticPr fontId="6" type="noConversion"/>
  </si>
  <si>
    <t>NO</t>
    <phoneticPr fontId="6" type="noConversion"/>
  </si>
  <si>
    <t>아니오 (연봉제)</t>
    <phoneticPr fontId="6" type="noConversion"/>
  </si>
  <si>
    <t>비고</t>
    <phoneticPr fontId="6" type="noConversion"/>
  </si>
  <si>
    <t>정년퇴직연령</t>
    <phoneticPr fontId="6" type="noConversion"/>
  </si>
  <si>
    <t>재직자별로 정년이 다른 경우 구분 필요</t>
    <phoneticPr fontId="6" type="noConversion"/>
  </si>
  <si>
    <t>정년확인</t>
    <phoneticPr fontId="6" type="noConversion"/>
  </si>
  <si>
    <t xml:space="preserve">비어있는 경우 작년보고서와 동일여부 확인 </t>
    <phoneticPr fontId="6" type="noConversion"/>
  </si>
  <si>
    <t>임금피크제</t>
    <phoneticPr fontId="6" type="noConversion"/>
  </si>
  <si>
    <t>YES</t>
  </si>
  <si>
    <t>만 56세</t>
    <phoneticPr fontId="6" type="noConversion"/>
  </si>
  <si>
    <r>
      <t xml:space="preserve">YES인 경우, 아래 </t>
    </r>
    <r>
      <rPr>
        <sz val="10"/>
        <color indexed="10"/>
        <rFont val="맑은 고딕"/>
        <family val="3"/>
        <charset val="129"/>
      </rPr>
      <t>"9. 특이사항"에 세부내용 명시</t>
    </r>
    <r>
      <rPr>
        <sz val="10"/>
        <rFont val="맑은 고딕"/>
        <family val="3"/>
        <charset val="129"/>
      </rPr>
      <t xml:space="preserve"> 필요</t>
    </r>
    <phoneticPr fontId="6" type="noConversion"/>
  </si>
  <si>
    <t>300인 이상 기업의 경우 정년 60세 이하면 확인 요청</t>
    <phoneticPr fontId="6" type="noConversion"/>
  </si>
  <si>
    <t>기타장기종업원급여</t>
    <phoneticPr fontId="6" type="noConversion"/>
  </si>
  <si>
    <r>
      <t xml:space="preserve">장기근속포상, 퇴직위로금 등이 있는 경우 YES 선택
YES 인 경우, </t>
    </r>
    <r>
      <rPr>
        <sz val="10"/>
        <color indexed="10"/>
        <rFont val="맑은 고딕"/>
        <family val="3"/>
        <charset val="129"/>
      </rPr>
      <t>"(1-3) 기초자료_기타장기종업원급여"</t>
    </r>
    <r>
      <rPr>
        <sz val="10"/>
        <rFont val="맑은 고딕"/>
        <family val="3"/>
        <charset val="129"/>
      </rPr>
      <t xml:space="preserve"> 작성 필요</t>
    </r>
    <phoneticPr fontId="6" type="noConversion"/>
  </si>
  <si>
    <t>지급률 가감</t>
    <phoneticPr fontId="32" type="noConversion"/>
  </si>
  <si>
    <t>+</t>
    <phoneticPr fontId="32" type="noConversion"/>
  </si>
  <si>
    <t>군복무, 포상, 장기근속 등</t>
    <phoneticPr fontId="32" type="noConversion"/>
  </si>
  <si>
    <r>
      <t xml:space="preserve">인별로 지급률 가감이 적용된 경우 명시하시고,
아래 </t>
    </r>
    <r>
      <rPr>
        <sz val="10"/>
        <color indexed="10"/>
        <rFont val="맑은 고딕"/>
        <family val="3"/>
        <charset val="129"/>
      </rPr>
      <t>"9. 특이사항"에 세부내용 명시</t>
    </r>
    <r>
      <rPr>
        <sz val="10"/>
        <rFont val="맑은 고딕"/>
        <family val="3"/>
        <charset val="129"/>
      </rPr>
      <t xml:space="preserve"> 필요</t>
    </r>
    <phoneticPr fontId="6" type="noConversion"/>
  </si>
  <si>
    <t>-</t>
    <phoneticPr fontId="32" type="noConversion"/>
  </si>
  <si>
    <t>휴직, 수습기간, 징계 등</t>
    <phoneticPr fontId="32" type="noConversion"/>
  </si>
  <si>
    <t>제도구분</t>
    <phoneticPr fontId="6" type="noConversion"/>
  </si>
  <si>
    <t>법정제</t>
  </si>
  <si>
    <r>
      <t xml:space="preserve">드롭박스에서 선택
누진제인 경우, </t>
    </r>
    <r>
      <rPr>
        <sz val="10"/>
        <color indexed="10"/>
        <rFont val="맑은 고딕"/>
        <family val="3"/>
        <charset val="129"/>
      </rPr>
      <t>아래 "9. 특이사항"에 세부내용 명시</t>
    </r>
    <r>
      <rPr>
        <sz val="10"/>
        <rFont val="맑은 고딕"/>
        <family val="3"/>
        <charset val="129"/>
      </rPr>
      <t xml:space="preserve"> 필요</t>
    </r>
    <phoneticPr fontId="6" type="noConversion"/>
  </si>
  <si>
    <t>기타</t>
    <phoneticPr fontId="6" type="noConversion"/>
  </si>
  <si>
    <t>1년미만 근무기간 처리방법(월할(절상))</t>
    <phoneticPr fontId="6" type="noConversion"/>
  </si>
  <si>
    <t>퇴직금 계산에 적용하는 근무기간이 1년을 초과하는 기간을
처리하는 기준, 월할(절사) / 월할(절상) / 일할 등 택1 명시
예) 근무기간 5년 3개월 14일
     월할(절상) : 5년 4개월 / 일할 : 5년 3개월 14일</t>
    <phoneticPr fontId="6" type="noConversion"/>
  </si>
  <si>
    <t>누진제</t>
    <phoneticPr fontId="6" type="noConversion"/>
  </si>
  <si>
    <t>1년미만
(일할/월할)</t>
    <phoneticPr fontId="6" type="noConversion"/>
  </si>
  <si>
    <t>1년 미만 근무자 포함여부가 아닌, 근속년수 산정에 관한 사항임.
(참고 : 근속년수 1년 미만인 신입직원도 산출대상에 포함됨)</t>
    <phoneticPr fontId="6" type="noConversion"/>
  </si>
  <si>
    <t>회계기간 중 축소, 정산, 사업결합, 
중간정산, DC전환 발생여부</t>
    <phoneticPr fontId="6" type="noConversion"/>
  </si>
  <si>
    <t>NO</t>
  </si>
  <si>
    <r>
      <t xml:space="preserve">Y (Yes)인 경우 </t>
    </r>
    <r>
      <rPr>
        <sz val="10"/>
        <color indexed="10"/>
        <rFont val="맑은 고딕"/>
        <family val="3"/>
        <charset val="129"/>
      </rPr>
      <t>위의 "2.", "3." 양식에 입력</t>
    </r>
    <r>
      <rPr>
        <sz val="10"/>
        <rFont val="맑은 고딕"/>
        <family val="3"/>
        <charset val="129"/>
      </rPr>
      <t xml:space="preserve"> 필요
아래</t>
    </r>
    <r>
      <rPr>
        <sz val="10"/>
        <color indexed="10"/>
        <rFont val="맑은 고딕"/>
        <family val="3"/>
        <charset val="129"/>
      </rPr>
      <t xml:space="preserve"> "9. 특이사항"에 세부내용 명시</t>
    </r>
    <r>
      <rPr>
        <sz val="10"/>
        <rFont val="맑은 고딕"/>
        <family val="3"/>
        <charset val="129"/>
      </rPr>
      <t xml:space="preserve"> 필요
</t>
    </r>
    <r>
      <rPr>
        <sz val="10"/>
        <color indexed="10"/>
        <rFont val="맑은 고딕"/>
        <family val="3"/>
        <charset val="129"/>
      </rPr>
      <t>해당자는 "(2-4) 추가 명부" 작성</t>
    </r>
    <r>
      <rPr>
        <sz val="10"/>
        <rFont val="맑은 고딕"/>
        <family val="3"/>
        <charset val="129"/>
      </rPr>
      <t xml:space="preserve"> 필요</t>
    </r>
    <phoneticPr fontId="6" type="noConversion"/>
  </si>
  <si>
    <t>회계기간 중
일부 중간정산, DC전환 발생 여부</t>
    <phoneticPr fontId="6" type="noConversion"/>
  </si>
  <si>
    <r>
      <t>Y (Yes)인 경우, 전액이 아닌 일부 중간정산, DC전환한
경우,</t>
    </r>
    <r>
      <rPr>
        <sz val="10"/>
        <color indexed="10"/>
        <rFont val="맑은 고딕"/>
        <family val="3"/>
        <charset val="129"/>
      </rPr>
      <t xml:space="preserve"> "(2-2) 재직자 명부" 예비란에 정산비율 입력</t>
    </r>
    <r>
      <rPr>
        <sz val="10"/>
        <rFont val="맑은 고딕"/>
        <family val="3"/>
        <charset val="129"/>
      </rPr>
      <t xml:space="preserve"> 필요</t>
    </r>
    <phoneticPr fontId="6" type="noConversion"/>
  </si>
  <si>
    <t xml:space="preserve">임금인상률
(Base-up)
</t>
    <phoneticPr fontId="6" type="noConversion"/>
  </si>
  <si>
    <r>
      <t xml:space="preserve">근무기간에 따라 </t>
    </r>
    <r>
      <rPr>
        <b/>
        <u/>
        <sz val="10"/>
        <color indexed="10"/>
        <rFont val="맑은 고딕"/>
        <family val="3"/>
        <charset val="129"/>
      </rPr>
      <t>호봉</t>
    </r>
    <r>
      <rPr>
        <b/>
        <u/>
        <sz val="10"/>
        <color indexed="8"/>
        <rFont val="맑은 고딕"/>
        <family val="3"/>
        <charset val="129"/>
      </rPr>
      <t xml:space="preserve">이 올라 
급여가 인상되는 임금체계 입니까?
</t>
    </r>
    <r>
      <rPr>
        <b/>
        <sz val="10"/>
        <color indexed="8"/>
        <rFont val="맑은 고딕"/>
        <family val="3"/>
        <charset val="129"/>
      </rPr>
      <t>(드롭박스에서 예/아니오 선택)</t>
    </r>
    <phoneticPr fontId="6" type="noConversion"/>
  </si>
  <si>
    <t>아니오 (연봉제)</t>
  </si>
  <si>
    <r>
      <rPr>
        <sz val="10"/>
        <color indexed="10"/>
        <rFont val="맑은 고딕"/>
        <family val="3"/>
        <charset val="129"/>
      </rPr>
      <t>&lt;호봉제&gt;</t>
    </r>
    <r>
      <rPr>
        <sz val="10"/>
        <rFont val="맑은 고딕"/>
        <family val="3"/>
        <charset val="129"/>
      </rPr>
      <t xml:space="preserve">는 근무기간에 따라 호봉이 올라서 급여가
인상되는 임금체계, </t>
    </r>
    <r>
      <rPr>
        <sz val="10"/>
        <color indexed="10"/>
        <rFont val="맑은 고딕"/>
        <family val="3"/>
        <charset val="129"/>
      </rPr>
      <t>&lt;연봉제&gt;</t>
    </r>
    <r>
      <rPr>
        <sz val="10"/>
        <rFont val="맑은 고딕"/>
        <family val="3"/>
        <charset val="129"/>
      </rPr>
      <t>는 업무성과에 따라서 급여가
결정되는 임금체계</t>
    </r>
    <phoneticPr fontId="6" type="noConversion"/>
  </si>
  <si>
    <t>base-up율</t>
    <phoneticPr fontId="6" type="noConversion"/>
  </si>
  <si>
    <t>과거평균/한국은행고시2%/장래예상 중 택일 후 기준 명시 
(작년보고서 참조)</t>
    <phoneticPr fontId="6" type="noConversion"/>
  </si>
  <si>
    <t>적용 연월일 명시 필요
(&lt;호봉제&gt;의 경우 직원별 승급/승진으로 인한 인상분을 제외한 재직자의 평균 임금상승률 기재)</t>
    <phoneticPr fontId="6" type="noConversion"/>
  </si>
  <si>
    <r>
      <t>(</t>
    </r>
    <r>
      <rPr>
        <sz val="10"/>
        <rFont val="돋움"/>
        <family val="3"/>
        <charset val="129"/>
      </rPr>
      <t>단위</t>
    </r>
    <r>
      <rPr>
        <sz val="11"/>
        <color theme="1"/>
        <rFont val="맑은 고딕"/>
        <family val="3"/>
        <charset val="129"/>
        <scheme val="minor"/>
      </rPr>
      <t xml:space="preserve"> : %)</t>
    </r>
    <phoneticPr fontId="39" type="noConversion"/>
  </si>
  <si>
    <t>직군</t>
    <phoneticPr fontId="39" type="noConversion"/>
  </si>
  <si>
    <t>2010년</t>
    <phoneticPr fontId="39" type="noConversion"/>
  </si>
  <si>
    <t>2011년</t>
    <phoneticPr fontId="39" type="noConversion"/>
  </si>
  <si>
    <t>2012년</t>
    <phoneticPr fontId="39" type="noConversion"/>
  </si>
  <si>
    <t>2013년</t>
    <phoneticPr fontId="39" type="noConversion"/>
  </si>
  <si>
    <t>2014년</t>
    <phoneticPr fontId="39" type="noConversion"/>
  </si>
  <si>
    <t>2015년</t>
    <phoneticPr fontId="39" type="noConversion"/>
  </si>
  <si>
    <t>정규직</t>
    <phoneticPr fontId="39" type="noConversion"/>
  </si>
  <si>
    <t>없음</t>
    <phoneticPr fontId="39" type="noConversion"/>
  </si>
  <si>
    <t>임금인상타결
(과장이상 2%,
대리이하 3.5%)</t>
    <phoneticPr fontId="39" type="noConversion"/>
  </si>
  <si>
    <t>임금인상타결
(과장이상 3.1%,
대리이하 4%)</t>
    <phoneticPr fontId="39" type="noConversion"/>
  </si>
  <si>
    <t>계약직</t>
    <phoneticPr fontId="39" type="noConversion"/>
  </si>
  <si>
    <t>☞ base-up율은 전직원에 일률적으로 적용되는 기본인상률(인플레이션 보상)입니다. 호봉제의 경우 임금상승률은 base-up율과 재직자별 승급, 승진에 의한 승급률에 의하여 결정됩니다.</t>
    <phoneticPr fontId="6" type="noConversion"/>
  </si>
  <si>
    <t>국공채</t>
    <phoneticPr fontId="6" type="noConversion"/>
  </si>
  <si>
    <t>과거평균(외삽치제거)</t>
    <phoneticPr fontId="6" type="noConversion"/>
  </si>
  <si>
    <t>회사채AAA</t>
    <phoneticPr fontId="6" type="noConversion"/>
  </si>
  <si>
    <t xml:space="preserve">      5. 할인율 산출 기준</t>
    <phoneticPr fontId="6" type="noConversion"/>
  </si>
  <si>
    <t>회사채AA+</t>
    <phoneticPr fontId="6" type="noConversion"/>
  </si>
  <si>
    <t>할인율 채권등급</t>
    <phoneticPr fontId="6" type="noConversion"/>
  </si>
  <si>
    <t>1) 작년 보고서와 동일여부 확인 (보고서 참조)</t>
    <phoneticPr fontId="6" type="noConversion"/>
  </si>
  <si>
    <r>
      <t xml:space="preserve">☞ 퇴직급여채무 산정시 사용되는 할인율은 [기업회계기준서 제1019호]에 의거, 보고기간 말 현재 </t>
    </r>
    <r>
      <rPr>
        <u/>
        <sz val="10"/>
        <color indexed="8"/>
        <rFont val="맑은 고딕"/>
        <family val="3"/>
        <charset val="129"/>
      </rPr>
      <t xml:space="preserve">우량회사채 시장수익률 </t>
    </r>
    <r>
      <rPr>
        <sz val="10"/>
        <color indexed="8"/>
        <rFont val="맑은 고딕"/>
        <family val="3"/>
        <charset val="129"/>
      </rPr>
      <t xml:space="preserve">또는 </t>
    </r>
    <r>
      <rPr>
        <u/>
        <sz val="10"/>
        <color indexed="8"/>
        <rFont val="맑은 고딕"/>
        <family val="3"/>
        <charset val="129"/>
      </rPr>
      <t>국공채의 시장수익률</t>
    </r>
    <r>
      <rPr>
        <sz val="10"/>
        <color indexed="8"/>
        <rFont val="맑은 고딕"/>
        <family val="3"/>
        <charset val="129"/>
      </rPr>
      <t xml:space="preserve">을 사용합니다. </t>
    </r>
    <phoneticPr fontId="6" type="noConversion"/>
  </si>
  <si>
    <t>회사채AA0</t>
    <phoneticPr fontId="6" type="noConversion"/>
  </si>
  <si>
    <r>
      <t xml:space="preserve">2) 전년도 보고서 없는 경우 </t>
    </r>
    <r>
      <rPr>
        <sz val="11"/>
        <color indexed="8"/>
        <rFont val="맑은 고딕"/>
        <family val="3"/>
        <charset val="129"/>
      </rPr>
      <t xml:space="preserve">→ </t>
    </r>
    <r>
      <rPr>
        <sz val="11"/>
        <color theme="1"/>
        <rFont val="맑은 고딕"/>
        <family val="3"/>
        <charset val="129"/>
        <scheme val="minor"/>
      </rPr>
      <t>확인 요청(AAA~AA-/AA+권장)</t>
    </r>
    <phoneticPr fontId="6" type="noConversion"/>
  </si>
  <si>
    <r>
      <t xml:space="preserve">    기존에 평가를 받은 적이 있는 경우는 </t>
    </r>
    <r>
      <rPr>
        <sz val="10"/>
        <color indexed="10"/>
        <rFont val="맑은 고딕"/>
        <family val="3"/>
        <charset val="129"/>
      </rPr>
      <t>평가보고서에서 확인</t>
    </r>
    <r>
      <rPr>
        <sz val="10"/>
        <color indexed="8"/>
        <rFont val="맑은 고딕"/>
        <family val="3"/>
        <charset val="129"/>
      </rPr>
      <t xml:space="preserve"> 가능합니다.</t>
    </r>
    <phoneticPr fontId="6" type="noConversion"/>
  </si>
  <si>
    <t>회사채AA-</t>
    <phoneticPr fontId="6" type="noConversion"/>
  </si>
  <si>
    <r>
      <t xml:space="preserve">    기존에 평가를 받은 적이 없는 경우는 </t>
    </r>
    <r>
      <rPr>
        <sz val="10"/>
        <color indexed="10"/>
        <rFont val="맑은 고딕"/>
        <family val="3"/>
        <charset val="129"/>
      </rPr>
      <t>회계사(감사인)께 문의하시면 확인</t>
    </r>
    <r>
      <rPr>
        <sz val="10"/>
        <color indexed="8"/>
        <rFont val="맑은 고딕"/>
        <family val="3"/>
        <charset val="129"/>
      </rPr>
      <t xml:space="preserve"> 가능합니다.</t>
    </r>
    <phoneticPr fontId="6" type="noConversion"/>
  </si>
  <si>
    <t>6. 사외적립자산 적립비율(가입비율)</t>
    <phoneticPr fontId="6" type="noConversion"/>
  </si>
  <si>
    <t>기타</t>
  </si>
  <si>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sz val="9"/>
        <color indexed="8"/>
        <rFont val="맑은 고딕"/>
        <family val="3"/>
        <charset val="129"/>
      </rPr>
      <t>예) 100%, 70%, 60% 등</t>
    </r>
    <phoneticPr fontId="6" type="noConversion"/>
  </si>
  <si>
    <t>사외적립자산
적립비율</t>
    <phoneticPr fontId="6" type="noConversion"/>
  </si>
  <si>
    <t>1) 80% 이상인 경우 전달 받은 값 사용</t>
    <phoneticPr fontId="6" type="noConversion"/>
  </si>
  <si>
    <t>☞ 평가일로부터 1년 후 (다음 회계년도 말) 회사가 계획하는 사외자산 적립비율을 선택하여 주십시오. (기타의 경우 별도 기입)</t>
    <phoneticPr fontId="6" type="noConversion"/>
  </si>
  <si>
    <t>2) 80% 미만인 경우 확인 요청(법정 적립 80% 설명하면서~)</t>
    <phoneticPr fontId="6" type="noConversion"/>
  </si>
  <si>
    <t>(기타의 경우 현재적립비율 적용 예정)</t>
    <phoneticPr fontId="6" type="noConversion"/>
  </si>
  <si>
    <t>7. 재직자/퇴직자 명부</t>
    <phoneticPr fontId="6" type="noConversion"/>
  </si>
  <si>
    <t xml:space="preserve">☞ 첨부된 Sheet의 양식 대로 작성하여 주시기 바랍니다. </t>
    <phoneticPr fontId="6" type="noConversion"/>
  </si>
  <si>
    <t>재직자명부</t>
    <phoneticPr fontId="6" type="noConversion"/>
  </si>
  <si>
    <t>퇴직자명부</t>
    <phoneticPr fontId="6" type="noConversion"/>
  </si>
  <si>
    <t>8. 퇴직금지급규정</t>
    <phoneticPr fontId="6" type="noConversion"/>
  </si>
  <si>
    <r>
      <t>☞ 임원</t>
    </r>
    <r>
      <rPr>
        <sz val="10"/>
        <color indexed="8"/>
        <rFont val="맑은 고딕"/>
        <family val="3"/>
        <charset val="129"/>
      </rPr>
      <t xml:space="preserve">, </t>
    </r>
    <r>
      <rPr>
        <sz val="10"/>
        <color indexed="8"/>
        <rFont val="맑은 고딕"/>
        <family val="3"/>
        <charset val="129"/>
      </rPr>
      <t>직원</t>
    </r>
    <r>
      <rPr>
        <sz val="10"/>
        <color indexed="8"/>
        <rFont val="맑은 고딕"/>
        <family val="3"/>
        <charset val="129"/>
      </rPr>
      <t xml:space="preserve"> 등</t>
    </r>
    <r>
      <rPr>
        <sz val="10"/>
        <color indexed="8"/>
        <rFont val="맑은 고딕"/>
        <family val="3"/>
        <charset val="129"/>
      </rPr>
      <t>의 퇴직금지급규정 등을 첨부하여 보내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 xml:space="preserve">주시기 바랍니다.  </t>
    </r>
    <phoneticPr fontId="6" type="noConversion"/>
  </si>
  <si>
    <t>9. 특이 사항</t>
    <phoneticPr fontId="6" type="noConversion"/>
  </si>
  <si>
    <t>☞ 아래 사항에 해당하는 문서를 제공하여 주십시오.</t>
    <phoneticPr fontId="6" type="noConversion"/>
  </si>
  <si>
    <t xml:space="preserve">    문서를 제공하기 어려우면 해당 내용을 상세하게 기술하여 주시기 바랍니다.</t>
    <phoneticPr fontId="6" type="noConversion"/>
  </si>
  <si>
    <t>(1) 임금피크제</t>
    <phoneticPr fontId="6" type="noConversion"/>
  </si>
  <si>
    <t>임금피크제 운영규정(20170701제정) 참고 -별도제출</t>
    <phoneticPr fontId="6" type="noConversion"/>
  </si>
  <si>
    <t>(2) 지급률 가감</t>
    <phoneticPr fontId="6" type="noConversion"/>
  </si>
  <si>
    <t>근속기간 제외
 1) 징계 - 정직기간 제외
 2) 휴직 -  휴직기간은 근속기간에 산입하지 아니한다.
             단, 다음 각 호의 1에 해당하는 경우 에는 예외로 한다
              1. 입영휴직기간
              2. 육아휴직기간
              3. 업무상의 질병이나 업무상의 부상으로 인한 휴직기간
              4. 해외연수 등 대표이사가 특별히 인정하는 경우의 휴직기간</t>
    <phoneticPr fontId="6" type="noConversion"/>
  </si>
  <si>
    <t>(3) 퇴직금 누진제</t>
    <phoneticPr fontId="6" type="noConversion"/>
  </si>
  <si>
    <t>퇴직금 누진제는 …</t>
    <phoneticPr fontId="6" type="noConversion"/>
  </si>
  <si>
    <t>(4) 축소, 정산, 사업결합, 중간정산, DC 전환 등</t>
    <phoneticPr fontId="6" type="noConversion"/>
  </si>
  <si>
    <t>축소, 정산은 …</t>
    <phoneticPr fontId="6" type="noConversion"/>
  </si>
  <si>
    <t>(1-3) 기타장기종업원급여채무 평가를 위한 기초자료</t>
    <phoneticPr fontId="6" type="noConversion"/>
  </si>
  <si>
    <t>1. 기타장기종업원급여 지급규정</t>
    <phoneticPr fontId="6" type="noConversion"/>
  </si>
  <si>
    <t>- 관련규정을 다음과 같이 요약하여 주시기 바랍니다.</t>
    <phoneticPr fontId="6" type="noConversion"/>
  </si>
  <si>
    <t>- 아래 양식 이외에 필요한 정보가 있으면 양식에 추가하여 작성하여 주시기 바랍니다.</t>
    <phoneticPr fontId="6" type="noConversion"/>
  </si>
  <si>
    <t>- 아래의 표는 예시로 작성된 것이며, 귀사의 규정에 맞게 수정하여 주시면 됩니다.</t>
    <phoneticPr fontId="6" type="noConversion"/>
  </si>
  <si>
    <t>근속년수</t>
    <phoneticPr fontId="6" type="noConversion"/>
  </si>
  <si>
    <t>포상금</t>
    <phoneticPr fontId="6" type="noConversion"/>
  </si>
  <si>
    <t>포상휴가</t>
    <phoneticPr fontId="6" type="noConversion"/>
  </si>
  <si>
    <t>급여기준</t>
    <phoneticPr fontId="6" type="noConversion"/>
  </si>
  <si>
    <t>현물기준</t>
    <phoneticPr fontId="6" type="noConversion"/>
  </si>
  <si>
    <t>지급율(월할기본연봉 X 직무그룹별 지급률)</t>
    <phoneticPr fontId="6" type="noConversion"/>
  </si>
  <si>
    <t>기획관리/운영지원그룹</t>
    <phoneticPr fontId="6" type="noConversion"/>
  </si>
  <si>
    <t>영업관리그룹</t>
    <phoneticPr fontId="6" type="noConversion"/>
  </si>
  <si>
    <t>5년</t>
    <phoneticPr fontId="6" type="noConversion"/>
  </si>
  <si>
    <t>10만원상당 상품권</t>
    <phoneticPr fontId="6" type="noConversion"/>
  </si>
  <si>
    <t>-</t>
    <phoneticPr fontId="6" type="noConversion"/>
  </si>
  <si>
    <t>10년</t>
    <phoneticPr fontId="6" type="noConversion"/>
  </si>
  <si>
    <t>금1돈</t>
    <phoneticPr fontId="6" type="noConversion"/>
  </si>
  <si>
    <t>3일</t>
    <phoneticPr fontId="6" type="noConversion"/>
  </si>
  <si>
    <t>15년</t>
    <phoneticPr fontId="6" type="noConversion"/>
  </si>
  <si>
    <t>금5돈</t>
    <phoneticPr fontId="6" type="noConversion"/>
  </si>
  <si>
    <t>5일</t>
    <phoneticPr fontId="6" type="noConversion"/>
  </si>
  <si>
    <t>20년</t>
    <phoneticPr fontId="6" type="noConversion"/>
  </si>
  <si>
    <t>금10돈</t>
    <phoneticPr fontId="6" type="noConversion"/>
  </si>
  <si>
    <t>7일</t>
    <phoneticPr fontId="6" type="noConversion"/>
  </si>
  <si>
    <t>25년</t>
    <phoneticPr fontId="6" type="noConversion"/>
  </si>
  <si>
    <t>금15돈</t>
    <phoneticPr fontId="6" type="noConversion"/>
  </si>
  <si>
    <t>10일</t>
    <phoneticPr fontId="6" type="noConversion"/>
  </si>
  <si>
    <t>30년</t>
    <phoneticPr fontId="6" type="noConversion"/>
  </si>
  <si>
    <t>금20돈</t>
    <phoneticPr fontId="6" type="noConversion"/>
  </si>
  <si>
    <t>15일</t>
    <phoneticPr fontId="6" type="noConversion"/>
  </si>
  <si>
    <t>* 12/31 기준, 한국조폐공사 국제금시세 기준(1돈당시세)</t>
    <phoneticPr fontId="6" type="noConversion"/>
  </si>
  <si>
    <t>2. 기타장기종업원급여 지급내역 (최근 3년)</t>
    <phoneticPr fontId="6" type="noConversion"/>
  </si>
  <si>
    <t>- 아래 양식이 적합하지 않으면 양식을 변경하여 작성하여 주시기 바랍니다.</t>
    <phoneticPr fontId="6" type="noConversion"/>
  </si>
  <si>
    <t>- 인원은 명, 금액은 원입니다. 단위를 확인하여 주시기 바랍니다.</t>
    <phoneticPr fontId="6" type="noConversion"/>
  </si>
  <si>
    <t>- 과거 3년 동안, 연도별 지급내역을 기록하여 주십시오 (기간은 회사가 비용으로 처리한 날짜 기준입니다)</t>
    <phoneticPr fontId="6" type="noConversion"/>
  </si>
  <si>
    <t>- 아래의 표는 예시로 작성된 것이며, 예시를 참고로 하여 귀사의 실제 지급내역을 입력해 주시기 바랍니다.</t>
    <phoneticPr fontId="6" type="noConversion"/>
  </si>
  <si>
    <t>&lt;작성방법&gt;</t>
    <phoneticPr fontId="6" type="noConversion"/>
  </si>
  <si>
    <t xml:space="preserve">① 근속자(명) </t>
    <phoneticPr fontId="6" type="noConversion"/>
  </si>
  <si>
    <t>해당인원 수 기재</t>
    <phoneticPr fontId="6" type="noConversion"/>
  </si>
  <si>
    <t>② 장기근속 축하금</t>
    <phoneticPr fontId="6" type="noConversion"/>
  </si>
  <si>
    <t>실적 발생금액 합계</t>
    <phoneticPr fontId="6" type="noConversion"/>
  </si>
  <si>
    <t>③ 세부내역</t>
    <phoneticPr fontId="6" type="noConversion"/>
  </si>
  <si>
    <t>포인트, 현금, 실물(금, 또는 여행권) 지급 여부 기재</t>
    <phoneticPr fontId="6" type="noConversion"/>
  </si>
  <si>
    <t>평가기준일 직전 1년 (2022.1.1~2022.12.31)</t>
    <phoneticPr fontId="6" type="noConversion"/>
  </si>
  <si>
    <t>근속자(명)</t>
    <phoneticPr fontId="6" type="noConversion"/>
  </si>
  <si>
    <t>장기근속축하금(합계, 원)</t>
    <phoneticPr fontId="6" type="noConversion"/>
  </si>
  <si>
    <t xml:space="preserve">  세부 내역</t>
    <phoneticPr fontId="6" type="noConversion"/>
  </si>
  <si>
    <t>10만원상당 복지포인트지급(2021년대상자)</t>
    <phoneticPr fontId="3" type="noConversion"/>
  </si>
  <si>
    <t>인당3일</t>
    <phoneticPr fontId="6" type="noConversion"/>
  </si>
  <si>
    <t>인당5일</t>
  </si>
  <si>
    <t>인당7일</t>
    <phoneticPr fontId="3" type="noConversion"/>
  </si>
  <si>
    <t>인당10일</t>
    <phoneticPr fontId="6" type="noConversion"/>
  </si>
  <si>
    <t>평가기준일 직전 2년 (2021.1.1~2021.12.31)</t>
    <phoneticPr fontId="6" type="noConversion"/>
  </si>
  <si>
    <t>10만원상당 복지포인트지급(2019년,2020년대상자)</t>
    <phoneticPr fontId="3" type="noConversion"/>
  </si>
  <si>
    <t>포상금(12명,14,042,620원)+금/환산금액(12명,3,588,000원)</t>
    <phoneticPr fontId="6" type="noConversion"/>
  </si>
  <si>
    <t>포상금(7명,16,469,860원)+금/환산금액(8명,11,960,000원)</t>
    <phoneticPr fontId="6" type="noConversion"/>
  </si>
  <si>
    <t>포상금(1명,13,656,280원)+금/환산금액(3명,8,970,000원)</t>
    <phoneticPr fontId="6" type="noConversion"/>
  </si>
  <si>
    <t>평가기준일 직전 3년 (2020.1.1~2020.12.31)</t>
    <phoneticPr fontId="6" type="noConversion"/>
  </si>
  <si>
    <t>휴가</t>
    <phoneticPr fontId="6" type="noConversion"/>
  </si>
  <si>
    <t>포상금+금/환산금액, 휴가부여</t>
  </si>
  <si>
    <t>인당5일</t>
    <phoneticPr fontId="6" type="noConversion"/>
  </si>
  <si>
    <t>인당7일</t>
    <phoneticPr fontId="6" type="noConversion"/>
  </si>
  <si>
    <t>(2-1) 명부 작성방법</t>
    <phoneticPr fontId="6" type="noConversion"/>
  </si>
  <si>
    <t>☞ 모든 항목은 필수 입력 사항입니다.</t>
    <phoneticPr fontId="6" type="noConversion"/>
  </si>
  <si>
    <t>☞ 명부는 "(2-2) 재직자 명부", "(2-3) 퇴직자 및 DC 전환자 명부", "(2-3) 추가 명부" 로 구분됩니다.</t>
    <phoneticPr fontId="6" type="noConversion"/>
  </si>
  <si>
    <t>구분</t>
    <phoneticPr fontId="32" type="noConversion"/>
  </si>
  <si>
    <t>항목명</t>
    <phoneticPr fontId="32" type="noConversion"/>
  </si>
  <si>
    <t xml:space="preserve">   작성방법</t>
    <phoneticPr fontId="32" type="noConversion"/>
  </si>
  <si>
    <t>공통</t>
    <phoneticPr fontId="6" type="noConversion"/>
  </si>
  <si>
    <t>평가기준일을 기준으로 작성
양식 변경 절대 불가
1년 미만 근속 재직자 포함
퇴직금을 지급하지 않는 재직자 제외
DC 또는 IRP 제도 가입자는 제외</t>
    <phoneticPr fontId="32" type="noConversion"/>
  </si>
  <si>
    <t>사원번호</t>
    <phoneticPr fontId="32" type="noConversion"/>
  </si>
  <si>
    <t>회사가 정한 사원번호 입력</t>
    <phoneticPr fontId="6" type="noConversion"/>
  </si>
  <si>
    <t>생년월일</t>
    <phoneticPr fontId="32" type="noConversion"/>
  </si>
  <si>
    <t>yyyymmdd 형식</t>
    <phoneticPr fontId="6" type="noConversion"/>
  </si>
  <si>
    <t>성별</t>
    <phoneticPr fontId="32" type="noConversion"/>
  </si>
  <si>
    <t>남 : 1, 여 : 2</t>
    <phoneticPr fontId="6" type="noConversion"/>
  </si>
  <si>
    <t>입사일자</t>
    <phoneticPr fontId="32" type="noConversion"/>
  </si>
  <si>
    <t>yyyymmdd 형식, 최초 입사일자 (퇴직금 산정 기준일) 입력</t>
    <phoneticPr fontId="6" type="noConversion"/>
  </si>
  <si>
    <t>재직자
명부</t>
    <phoneticPr fontId="6" type="noConversion"/>
  </si>
  <si>
    <t>기준급여</t>
    <phoneticPr fontId="32" type="noConversion"/>
  </si>
  <si>
    <t>퇴직금 지급의 기준이 되는 월 기준급여 입력 (예: 법정제인 경우 평균임금)</t>
    <phoneticPr fontId="32" type="noConversion"/>
  </si>
  <si>
    <t>당년도 퇴직금추계액</t>
    <phoneticPr fontId="32" type="noConversion"/>
  </si>
  <si>
    <r>
      <t xml:space="preserve">사규에서 정하는 퇴직금 추계액 입력(평가기준일 기준)
</t>
    </r>
    <r>
      <rPr>
        <b/>
        <sz val="10"/>
        <color indexed="10"/>
        <rFont val="맑은 고딕"/>
        <family val="3"/>
        <charset val="129"/>
      </rPr>
      <t>임원, 계약직은 필수 입력</t>
    </r>
    <phoneticPr fontId="32" type="noConversion"/>
  </si>
  <si>
    <t>차년도 퇴직금추계액</t>
    <phoneticPr fontId="32" type="noConversion"/>
  </si>
  <si>
    <r>
      <t xml:space="preserve">사규에서 정하는 차년도퇴직금추계액 입력(평가기준일로 부터 1년후 퇴직을 가정)
</t>
    </r>
    <r>
      <rPr>
        <b/>
        <sz val="10"/>
        <color indexed="10"/>
        <rFont val="맑은 고딕"/>
        <family val="3"/>
        <charset val="129"/>
      </rPr>
      <t>임원, 계약직은 필수 입력</t>
    </r>
    <phoneticPr fontId="32" type="noConversion"/>
  </si>
  <si>
    <t>종업원 구분</t>
    <phoneticPr fontId="32" type="noConversion"/>
  </si>
  <si>
    <t>일반직: 1, 임원: 3, 계약직: 4
계약직이라도 정규직의 퇴직금규정을 적용하고 
정년이 일반직과 동일한 경우 2 입력(직종 3, 4는 정년이 적용되지 않음)</t>
    <phoneticPr fontId="32" type="noConversion"/>
  </si>
  <si>
    <t>중간정산기준일</t>
    <phoneticPr fontId="32" type="noConversion"/>
  </si>
  <si>
    <r>
      <rPr>
        <b/>
        <sz val="10"/>
        <color indexed="10"/>
        <rFont val="맑은 고딕"/>
        <family val="3"/>
        <charset val="129"/>
      </rPr>
      <t>입사 후 중간정산 한 적이 있는 경우 반드시 입력</t>
    </r>
    <r>
      <rPr>
        <sz val="10"/>
        <rFont val="맑은 고딕"/>
        <family val="3"/>
        <charset val="129"/>
      </rPr>
      <t xml:space="preserve">
중간정산일 당일 입력
여러 번 중간정산한 경우</t>
    </r>
    <r>
      <rPr>
        <sz val="10"/>
        <color indexed="10"/>
        <rFont val="맑은 고딕"/>
        <family val="3"/>
        <charset val="129"/>
      </rPr>
      <t xml:space="preserve"> </t>
    </r>
    <r>
      <rPr>
        <b/>
        <sz val="10"/>
        <color indexed="10"/>
        <rFont val="맑은 고딕"/>
        <family val="3"/>
        <charset val="129"/>
      </rPr>
      <t>최종 중간정산일자</t>
    </r>
    <r>
      <rPr>
        <sz val="10"/>
        <rFont val="맑은 고딕"/>
        <family val="3"/>
        <charset val="129"/>
      </rPr>
      <t xml:space="preserve"> 입력 </t>
    </r>
    <phoneticPr fontId="32" type="noConversion"/>
  </si>
  <si>
    <t>중간정산액</t>
    <phoneticPr fontId="6" type="noConversion"/>
  </si>
  <si>
    <r>
      <rPr>
        <b/>
        <sz val="10"/>
        <color indexed="10"/>
        <rFont val="맑은 고딕"/>
        <family val="3"/>
        <charset val="129"/>
      </rPr>
      <t>퇴직금 제도가 구분</t>
    </r>
    <r>
      <rPr>
        <sz val="10"/>
        <rFont val="맑은 고딕"/>
        <family val="3"/>
        <charset val="129"/>
      </rPr>
      <t xml:space="preserve"> 되어 적용되는 경우 </t>
    </r>
    <r>
      <rPr>
        <b/>
        <sz val="10"/>
        <color indexed="10"/>
        <rFont val="맑은 고딕"/>
        <family val="3"/>
        <charset val="129"/>
      </rPr>
      <t>숫자로 구분</t>
    </r>
    <r>
      <rPr>
        <sz val="10"/>
        <rFont val="맑은 고딕"/>
        <family val="3"/>
        <charset val="129"/>
      </rPr>
      <t xml:space="preserve"> (1,2,3..)
구분되지 않는 경우는 입력하지 않아도 됨 
(예  생산: 1 , 사무직: 2)</t>
    </r>
    <phoneticPr fontId="6" type="noConversion"/>
  </si>
  <si>
    <t>퇴직자 및
DC전환자
명부</t>
    <phoneticPr fontId="6" type="noConversion"/>
  </si>
  <si>
    <r>
      <rPr>
        <b/>
        <sz val="10"/>
        <color indexed="10"/>
        <rFont val="맑은 고딕"/>
        <family val="3"/>
        <charset val="129"/>
      </rPr>
      <t>300인 이상인</t>
    </r>
    <r>
      <rPr>
        <b/>
        <sz val="10"/>
        <color indexed="10"/>
        <rFont val="맑은 고딕"/>
        <family val="3"/>
        <charset val="129"/>
      </rPr>
      <t xml:space="preserve"> 기업의</t>
    </r>
    <r>
      <rPr>
        <b/>
        <sz val="10"/>
        <color indexed="10"/>
        <rFont val="맑은 고딕"/>
        <family val="3"/>
        <charset val="129"/>
      </rPr>
      <t xml:space="preserve"> 경우 3년치</t>
    </r>
    <r>
      <rPr>
        <b/>
        <sz val="10"/>
        <color indexed="10"/>
        <rFont val="맑은 고딕"/>
        <family val="3"/>
        <charset val="129"/>
      </rPr>
      <t>(평가기준일 직전 3년간)</t>
    </r>
    <r>
      <rPr>
        <b/>
        <sz val="10"/>
        <color indexed="10"/>
        <rFont val="맑은 고딕"/>
        <family val="3"/>
        <charset val="129"/>
      </rPr>
      <t xml:space="preserve"> 퇴직자명부 작성</t>
    </r>
    <r>
      <rPr>
        <sz val="10"/>
        <rFont val="맑은 고딕"/>
        <family val="3"/>
        <charset val="129"/>
      </rPr>
      <t xml:space="preserve">
300인 미만인 경우 해당 회계년도의 퇴직자만 작성</t>
    </r>
    <phoneticPr fontId="6" type="noConversion"/>
  </si>
  <si>
    <t xml:space="preserve">  퇴직일 / DC전환일</t>
    <phoneticPr fontId="6" type="noConversion"/>
  </si>
  <si>
    <t>퇴직일 또는 DC 전환일 입력</t>
    <phoneticPr fontId="6" type="noConversion"/>
  </si>
  <si>
    <t>사유</t>
    <phoneticPr fontId="6" type="noConversion"/>
  </si>
  <si>
    <t>1: 퇴직, 2: DC전환 구분 입력</t>
    <phoneticPr fontId="6" type="noConversion"/>
  </si>
  <si>
    <t>퇴직금 제도가 구분 되어 적용되는 경우 숫자로 구분 (1,2,3..)
구분되지 않는 경우는 입력하지 않아도 됨 
(예  생산: 1 , 사무직: 2)</t>
    <phoneticPr fontId="6" type="noConversion"/>
  </si>
  <si>
    <t>추가
명부</t>
    <phoneticPr fontId="6" type="noConversion"/>
  </si>
  <si>
    <t>유의적인 채무 변동이 있을 경우 변동 원인을 평가하여 반영하기 위한 명부</t>
    <phoneticPr fontId="6" type="noConversion"/>
  </si>
  <si>
    <r>
      <t xml:space="preserve">다음 중 </t>
    </r>
    <r>
      <rPr>
        <sz val="10"/>
        <color indexed="10"/>
        <rFont val="맑은 고딕"/>
        <family val="3"/>
        <charset val="129"/>
      </rPr>
      <t>해당사항이 있는 경우에만</t>
    </r>
    <r>
      <rPr>
        <sz val="10"/>
        <rFont val="맑은 고딕"/>
        <family val="3"/>
        <charset val="129"/>
      </rPr>
      <t xml:space="preserve"> 입력 </t>
    </r>
    <r>
      <rPr>
        <b/>
        <sz val="10"/>
        <color indexed="30"/>
        <rFont val="맑은 고딕"/>
        <family val="3"/>
        <charset val="129"/>
      </rPr>
      <t xml:space="preserve">: 축소, 정산, 사업결합, 사업분할,기타장기종업원급여
</t>
    </r>
    <r>
      <rPr>
        <b/>
        <sz val="10"/>
        <color indexed="10"/>
        <rFont val="맑은 고딕"/>
        <family val="3"/>
        <charset val="129"/>
      </rPr>
      <t>해당 사건 발생일을 기준으로 작성</t>
    </r>
    <phoneticPr fontId="6" type="noConversion"/>
  </si>
  <si>
    <t>기준급여, 직종, 중간정산일</t>
    <phoneticPr fontId="6" type="noConversion"/>
  </si>
  <si>
    <t>재직자 명부와 동일한 방식으로 작성</t>
    <phoneticPr fontId="6" type="noConversion"/>
  </si>
  <si>
    <t>사유발생일 시점 퇴직금추계액</t>
    <phoneticPr fontId="6" type="noConversion"/>
  </si>
  <si>
    <t>사유발생일 시점에 퇴직 시 지급하여야 하는 퇴직금 입력</t>
    <phoneticPr fontId="6" type="noConversion"/>
  </si>
  <si>
    <t xml:space="preserve">사유 </t>
    <phoneticPr fontId="6" type="noConversion"/>
  </si>
  <si>
    <t>1: 관계사전입, 2: 관계사전출, 3: 사업결합, 4: 사업처분, 5: 기타장기종업원
해당사항 숫자로 입력</t>
    <phoneticPr fontId="6" type="noConversion"/>
  </si>
  <si>
    <t>사유발생일</t>
  </si>
  <si>
    <t>해당 사유 발생일 입력</t>
  </si>
  <si>
    <t>참고사항</t>
    <phoneticPr fontId="6" type="noConversion"/>
  </si>
  <si>
    <t>생년월일</t>
    <phoneticPr fontId="6" type="noConversion"/>
  </si>
  <si>
    <r>
      <t xml:space="preserve">성별
</t>
    </r>
    <r>
      <rPr>
        <b/>
        <sz val="8"/>
        <rFont val="맑은 고딕"/>
        <family val="3"/>
        <charset val="129"/>
      </rPr>
      <t>(1:남자, 2:여자)</t>
    </r>
    <phoneticPr fontId="6" type="noConversion"/>
  </si>
  <si>
    <t>당년도
퇴직금추계액</t>
    <phoneticPr fontId="32" type="noConversion"/>
  </si>
  <si>
    <t>차년도
퇴직금추계액</t>
    <phoneticPr fontId="32" type="noConversion"/>
  </si>
  <si>
    <r>
      <t xml:space="preserve">종업원 구분
</t>
    </r>
    <r>
      <rPr>
        <b/>
        <sz val="8"/>
        <rFont val="맑은 고딕"/>
        <family val="3"/>
        <charset val="129"/>
      </rPr>
      <t>(1:직원, 3:임원, 
4:계약직)</t>
    </r>
    <phoneticPr fontId="32" type="noConversion"/>
  </si>
  <si>
    <t>제도구분
(1,2,3)</t>
    <phoneticPr fontId="32" type="noConversion"/>
  </si>
  <si>
    <t>적용배수</t>
    <phoneticPr fontId="32" type="noConversion"/>
  </si>
  <si>
    <t>휴직기간등차감</t>
    <phoneticPr fontId="32" type="noConversion"/>
  </si>
  <si>
    <t>※ 양식 변경 절대 불가</t>
  </si>
  <si>
    <t>최초 입사일자 입력</t>
    <phoneticPr fontId="6" type="noConversion"/>
  </si>
  <si>
    <t>퇴직금 계산시 사용되는 평균임금</t>
    <phoneticPr fontId="6" type="noConversion"/>
  </si>
  <si>
    <t>작성기준일 현재 퇴직시 지급하는 퇴직금</t>
    <phoneticPr fontId="6" type="noConversion"/>
  </si>
  <si>
    <t>(임원, 계약직 필수 입력)</t>
    <phoneticPr fontId="6" type="noConversion"/>
  </si>
  <si>
    <t>작성기준일로부터 1년 후 퇴직시 지급하는 퇴직금</t>
    <phoneticPr fontId="6" type="noConversion"/>
  </si>
  <si>
    <t>입사 후 중간정산한 적이 있는 경우 반드시 입력</t>
    <phoneticPr fontId="6" type="noConversion"/>
  </si>
  <si>
    <t>중간정산 당일로 입력</t>
    <phoneticPr fontId="6" type="noConversion"/>
  </si>
  <si>
    <t>중간정산액</t>
    <phoneticPr fontId="32" type="noConversion"/>
  </si>
  <si>
    <t>그 외 중간정산자는 입력하지 않아도 됨</t>
    <phoneticPr fontId="6" type="noConversion"/>
  </si>
  <si>
    <t>제도구분</t>
    <phoneticPr fontId="32" type="noConversion"/>
  </si>
  <si>
    <t>구분되는 제도를 반영하는 경우 입력 (숫자기입)</t>
    <phoneticPr fontId="6" type="noConversion"/>
  </si>
  <si>
    <t>임원의 경우 적용 배수 입력 ( 예: 1.5, 2, 3... )</t>
    <phoneticPr fontId="6" type="noConversion"/>
  </si>
  <si>
    <t>전액 확정기여형(DC) 제도 가입자는 제외</t>
    <phoneticPr fontId="6" type="noConversion"/>
  </si>
  <si>
    <t>1년 미만 재직자도 입력</t>
    <phoneticPr fontId="6" type="noConversion"/>
  </si>
  <si>
    <t>기준급여 * 지급률 = 당년도 퇴직금추계액</t>
    <phoneticPr fontId="6" type="noConversion"/>
  </si>
  <si>
    <t>임원승진에 따른 직원퇴직금정산</t>
    <phoneticPr fontId="6" type="noConversion"/>
  </si>
  <si>
    <t>퇴직일
또는 DC전환일</t>
    <phoneticPr fontId="32" type="noConversion"/>
  </si>
  <si>
    <t>퇴직금
또는 DC전환금</t>
    <phoneticPr fontId="32" type="noConversion"/>
  </si>
  <si>
    <r>
      <t xml:space="preserve">사유
</t>
    </r>
    <r>
      <rPr>
        <b/>
        <sz val="8"/>
        <rFont val="맑은 고딕"/>
        <family val="3"/>
        <charset val="129"/>
      </rPr>
      <t>(1: 퇴직, 2: DC전환)</t>
    </r>
    <phoneticPr fontId="6" type="noConversion"/>
  </si>
  <si>
    <t>제도구분
(1,2,3)</t>
    <phoneticPr fontId="6" type="noConversion"/>
  </si>
  <si>
    <t>해당 회계연도에 발생한 사항 입력</t>
    <phoneticPr fontId="6" type="noConversion"/>
  </si>
  <si>
    <t>퇴직금(DC전환금)이 0인 경우에도 입력</t>
    <phoneticPr fontId="6" type="noConversion"/>
  </si>
  <si>
    <t>전액 확정기여형(DC)을 가입한 퇴직자 제외</t>
    <phoneticPr fontId="6" type="noConversion"/>
  </si>
  <si>
    <t>사유발생일 시점
발생금액</t>
    <phoneticPr fontId="32" type="noConversion"/>
  </si>
  <si>
    <r>
      <t xml:space="preserve">사유
</t>
    </r>
    <r>
      <rPr>
        <b/>
        <sz val="8"/>
        <rFont val="맑은 고딕"/>
        <family val="3"/>
        <charset val="129"/>
      </rPr>
      <t>(1:관계사전입, 2:관계사전출, 
3:사업결합, 4:사업처분
5:기타장기종업원)</t>
    </r>
    <phoneticPr fontId="32" type="noConversion"/>
  </si>
  <si>
    <t>사유발생일</t>
    <phoneticPr fontId="6" type="noConversion"/>
  </si>
  <si>
    <t>직무그룹</t>
    <phoneticPr fontId="32" type="noConversion"/>
  </si>
  <si>
    <t>제도구분</t>
    <phoneticPr fontId="64" type="noConversion"/>
  </si>
  <si>
    <t>아래의 사항에 해당하는 경우 입력</t>
    <phoneticPr fontId="6" type="noConversion"/>
  </si>
  <si>
    <t>: 축소, 정산, 사업결합, 사업분할</t>
    <phoneticPr fontId="6" type="noConversion"/>
  </si>
  <si>
    <t>해당 사유 발생일을 기준으로 입력</t>
    <phoneticPr fontId="6" type="noConversion"/>
  </si>
  <si>
    <t>사유 발생일 기준</t>
    <phoneticPr fontId="6" type="noConversion"/>
  </si>
  <si>
    <t>사유발생일 현재 퇴직금추계액</t>
    <phoneticPr fontId="6" type="noConversion"/>
  </si>
  <si>
    <t>15년</t>
    <phoneticPr fontId="6" type="noConversion"/>
  </si>
  <si>
    <t>20년</t>
    <phoneticPr fontId="6" type="noConversion"/>
  </si>
  <si>
    <t>10년</t>
    <phoneticPr fontId="6" type="noConversion"/>
  </si>
  <si>
    <t>5년</t>
    <phoneticPr fontId="6" type="noConversion"/>
  </si>
  <si>
    <t>DC형</t>
  </si>
  <si>
    <t>기획관리그룹</t>
  </si>
  <si>
    <t>운영지원그룹</t>
  </si>
  <si>
    <t>영업관리그룹</t>
  </si>
  <si>
    <t>실장</t>
  </si>
  <si>
    <t>부본부장</t>
  </si>
  <si>
    <t>부실장</t>
  </si>
  <si>
    <t>최고경영자</t>
  </si>
  <si>
    <t>담당</t>
  </si>
  <si>
    <t>본부장</t>
  </si>
  <si>
    <t>케피탈복귀로 퇴직금이관</t>
    <phoneticPr fontId="6" type="noConversion"/>
  </si>
  <si>
    <t>1/2사외적립자산차감예정</t>
    <phoneticPr fontId="3" type="noConversion"/>
  </si>
  <si>
    <t>포상금(5명,6,116,580원)+금/환산금액(6명,1,911,000원)</t>
    <phoneticPr fontId="6" type="noConversion"/>
  </si>
  <si>
    <t>포상금(3명,6,669,600원)+금/환산금액(2명,3,185,000원)</t>
    <phoneticPr fontId="6" type="noConversion"/>
  </si>
  <si>
    <t>포상금(6명,31,863,600원)+금/환산금액(6명,12,740,000원)</t>
    <phoneticPr fontId="6" type="noConversion"/>
  </si>
  <si>
    <t>``</t>
    <phoneticPr fontId="3" type="noConversion"/>
  </si>
  <si>
    <t>1</t>
    <phoneticPr fontId="3" type="noConversion"/>
  </si>
  <si>
    <t>2</t>
    <phoneticPr fontId="3" type="noConversion"/>
  </si>
  <si>
    <t>6</t>
  </si>
  <si>
    <t>9</t>
  </si>
  <si>
    <t>4</t>
  </si>
  <si>
    <t>7</t>
  </si>
  <si>
    <t>5</t>
  </si>
  <si>
    <t>8</t>
  </si>
  <si>
    <t>3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</si>
  <si>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</si>
  <si>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</si>
  <si>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</si>
  <si>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</si>
  <si>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</si>
  <si>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</si>
  <si>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</si>
  <si>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</si>
  <si>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</si>
  <si>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</si>
  <si>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</si>
  <si>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</si>
  <si>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</si>
  <si>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</si>
  <si>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</si>
  <si>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</si>
  <si>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</si>
  <si>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</si>
  <si>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</si>
  <si>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</si>
  <si>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</si>
  <si>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</si>
  <si>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</si>
  <si>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</si>
  <si>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</si>
  <si>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</si>
  <si>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</si>
  <si>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</si>
  <si>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</si>
  <si>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</si>
  <si>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</si>
  <si>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</si>
  <si>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</si>
  <si>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</si>
  <si>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</si>
  <si>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</si>
  <si>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</si>
  <si>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</si>
  <si>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</si>
  <si>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</si>
  <si>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</si>
  <si>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</si>
  <si>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</si>
  <si>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</si>
  <si>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</si>
  <si>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</si>
  <si>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</si>
  <si>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</si>
  <si>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</si>
  <si>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</si>
  <si>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</si>
  <si>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</si>
  <si>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</si>
  <si>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</si>
  <si>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</si>
  <si>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</si>
  <si>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</si>
  <si>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</si>
  <si>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</si>
  <si>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</si>
  <si>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</si>
  <si>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</si>
  <si>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</si>
  <si>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</si>
  <si>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</si>
  <si>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</si>
  <si>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</si>
  <si>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</si>
  <si>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</si>
  <si>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</si>
  <si>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</si>
  <si>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</si>
  <si>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</si>
  <si>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</si>
  <si>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</si>
  <si>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</si>
  <si>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</si>
  <si>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</si>
  <si>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</si>
  <si>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</si>
  <si>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</si>
  <si>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</si>
  <si>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</si>
  <si>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</si>
  <si>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</si>
  <si>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</si>
  <si>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</si>
  <si>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</si>
  <si>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</si>
  <si>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</si>
  <si>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</si>
  <si>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</si>
  <si>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</si>
  <si>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</si>
  <si>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</si>
  <si>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</si>
  <si>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</si>
  <si>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</si>
  <si>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</si>
  <si>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</si>
  <si>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</si>
  <si>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</si>
  <si>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</si>
  <si>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</si>
  <si>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</si>
  <si>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</si>
  <si>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</si>
  <si>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</si>
  <si>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</si>
  <si>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</si>
  <si>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</si>
  <si>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</si>
  <si>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</si>
  <si>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</si>
  <si>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</si>
  <si>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</si>
  <si>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</si>
  <si>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</si>
  <si>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</si>
  <si>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</si>
  <si>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</si>
  <si>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</si>
  <si>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</si>
  <si>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</si>
  <si>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</si>
  <si>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</si>
  <si>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</si>
  <si>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</si>
  <si>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</si>
  <si>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</si>
  <si>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</si>
  <si>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</si>
  <si>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</si>
  <si>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</si>
  <si>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</si>
  <si>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</si>
  <si>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</si>
  <si>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</si>
  <si>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</si>
  <si>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</si>
  <si>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</si>
  <si>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</si>
  <si>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</si>
  <si>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</si>
  <si>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</si>
  <si>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</si>
  <si>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</si>
  <si>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</si>
  <si>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</si>
  <si>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</si>
  <si>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</si>
  <si>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</si>
  <si>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</si>
  <si>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</si>
  <si>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</si>
  <si>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</si>
  <si>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</si>
  <si>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</si>
  <si>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</si>
  <si>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</si>
  <si>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</si>
  <si>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</si>
  <si>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</si>
  <si>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</si>
  <si>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</si>
  <si>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</si>
  <si>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</si>
  <si>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</si>
  <si>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</si>
  <si>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</si>
  <si>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</si>
  <si>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</si>
  <si>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</si>
  <si>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</si>
  <si>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</si>
  <si>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</si>
  <si>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</si>
  <si>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</si>
  <si>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</si>
  <si>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</si>
  <si>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</si>
  <si>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</si>
  <si>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</si>
  <si>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</si>
  <si>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</si>
  <si>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</si>
  <si>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</si>
  <si>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</si>
  <si>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</si>
  <si>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</si>
  <si>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</si>
  <si>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</si>
  <si>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</si>
  <si>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</si>
  <si>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</si>
  <si>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</si>
  <si>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</si>
  <si>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</si>
  <si>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</si>
  <si>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</si>
  <si>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</si>
  <si>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</si>
  <si>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</si>
  <si>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</si>
  <si>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</si>
  <si>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</si>
  <si>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</si>
  <si>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</si>
  <si>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</si>
  <si>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</si>
  <si>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</si>
  <si>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</si>
  <si>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</si>
  <si>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</si>
  <si>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</si>
  <si>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</si>
  <si>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</si>
  <si>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</si>
  <si>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</si>
  <si>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</si>
  <si>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</si>
  <si>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</si>
  <si>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</si>
  <si>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</si>
  <si>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</si>
  <si>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</si>
  <si>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</si>
  <si>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</si>
  <si>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</si>
  <si>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</si>
  <si>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</si>
  <si>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</si>
  <si>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</si>
  <si>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</si>
  <si>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</si>
  <si>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</si>
  <si>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</si>
  <si>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</si>
  <si>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</si>
  <si>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</si>
  <si>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</si>
  <si>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</si>
  <si>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</si>
  <si>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</si>
  <si>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</si>
  <si>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</si>
  <si>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</si>
  <si>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</si>
  <si>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</si>
  <si>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</si>
  <si>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</si>
  <si>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</si>
  <si>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</si>
  <si>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</si>
  <si>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</si>
  <si>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</si>
  <si>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</si>
  <si>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</si>
  <si>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</si>
  <si>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</si>
  <si>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</si>
  <si>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</si>
  <si>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</si>
  <si>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</si>
  <si>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</si>
  <si>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</si>
  <si>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</si>
  <si>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</si>
  <si>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</si>
  <si>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</si>
  <si>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</si>
  <si>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</si>
  <si>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</si>
  <si>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</si>
  <si>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</si>
  <si>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</si>
  <si>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</si>
  <si>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</si>
  <si>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</si>
  <si>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</si>
  <si>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</si>
  <si>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</si>
  <si>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</si>
  <si>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</si>
  <si>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</si>
  <si>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</si>
  <si>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</si>
  <si>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</si>
  <si>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</si>
  <si>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</si>
  <si>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</si>
  <si>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</si>
  <si>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</si>
  <si>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</si>
  <si>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</si>
  <si>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</si>
  <si>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</si>
  <si>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</si>
  <si>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</si>
  <si>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</si>
  <si>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</si>
  <si>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</si>
  <si>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</si>
  <si>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</si>
  <si>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</si>
  <si>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</si>
  <si>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</si>
  <si>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</si>
  <si>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</si>
  <si>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</si>
  <si>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</si>
  <si>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</si>
  <si>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</si>
  <si>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</si>
  <si>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</si>
  <si>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</si>
  <si>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</si>
  <si>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</si>
  <si>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</si>
  <si>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</si>
  <si>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</si>
  <si>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</si>
  <si>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</si>
  <si>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</si>
  <si>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</si>
  <si>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</si>
  <si>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</si>
  <si>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</si>
  <si>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</si>
  <si>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</si>
  <si>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</si>
  <si>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</si>
  <si>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</si>
  <si>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</si>
  <si>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</si>
  <si>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</si>
  <si>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</si>
  <si>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</si>
  <si>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</si>
  <si>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</si>
  <si>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</si>
  <si>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</si>
  <si>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</si>
  <si>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</si>
  <si>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</si>
  <si>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</si>
  <si>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</si>
  <si>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</si>
  <si>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</si>
  <si>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</si>
  <si>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</si>
  <si>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</si>
  <si>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</si>
  <si>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</si>
  <si>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</si>
  <si>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</si>
  <si>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</si>
  <si>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</si>
  <si>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</si>
  <si>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</si>
  <si>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</si>
  <si>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</si>
  <si>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</si>
  <si>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</si>
  <si>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</si>
  <si>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</si>
  <si>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</si>
  <si>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</si>
  <si>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</si>
  <si>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</si>
  <si>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</si>
  <si>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</si>
  <si>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</si>
  <si>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</si>
  <si>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</si>
  <si>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</si>
  <si>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</si>
  <si>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</si>
  <si>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</si>
  <si>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</si>
  <si>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</si>
  <si>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</si>
  <si>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</si>
  <si>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</si>
  <si>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</si>
  <si>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</si>
  <si>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</si>
  <si>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</si>
  <si>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</si>
  <si>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  <phoneticPr fontId="3" type="noConversion"/>
  </si>
  <si>
    <t>499</t>
  </si>
  <si>
    <t>400</t>
    <phoneticPr fontId="3" type="noConversion"/>
  </si>
  <si>
    <t>401</t>
  </si>
  <si>
    <t>402</t>
  </si>
  <si>
    <t>403</t>
  </si>
  <si>
    <t>404</t>
  </si>
  <si>
    <t>405</t>
  </si>
  <si>
    <t>406</t>
  </si>
  <si>
    <t>407</t>
  </si>
  <si>
    <t>408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</si>
  <si>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</si>
  <si>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</si>
  <si>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</si>
  <si>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</si>
  <si>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</si>
  <si>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</si>
  <si>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</si>
  <si>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</si>
  <si>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</si>
  <si>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</si>
  <si>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</si>
  <si>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</si>
  <si>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</si>
  <si>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</si>
  <si>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</si>
  <si>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</si>
  <si>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</si>
  <si>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</si>
  <si>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</si>
  <si>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</si>
  <si>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</si>
  <si>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</si>
  <si>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</si>
  <si>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</si>
  <si>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</si>
  <si>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</si>
  <si>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</si>
  <si>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</si>
  <si>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</si>
  <si>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</si>
  <si>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</si>
  <si>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</si>
  <si>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</si>
  <si>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</si>
  <si>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</si>
  <si>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</si>
  <si>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</si>
  <si>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</si>
  <si>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</si>
  <si>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</si>
  <si>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</si>
  <si>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</si>
  <si>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</si>
  <si>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</si>
  <si>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</si>
  <si>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</si>
  <si>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</si>
  <si>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</si>
  <si>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</si>
  <si>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</si>
  <si>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</si>
  <si>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</si>
  <si>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</si>
  <si>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</si>
  <si>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</si>
  <si>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</si>
  <si>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</si>
  <si>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</si>
  <si>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</si>
  <si>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</si>
  <si>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</si>
  <si>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</si>
  <si>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</si>
  <si>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</si>
  <si>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</si>
  <si>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</si>
  <si>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</si>
  <si>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</si>
  <si>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</si>
  <si>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</si>
  <si>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</si>
  <si>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</si>
  <si>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</si>
  <si>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</si>
  <si>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</si>
  <si>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</si>
  <si>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</si>
  <si>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</si>
  <si>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</si>
  <si>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</si>
  <si>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</si>
  <si>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</si>
  <si>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</si>
  <si>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</si>
  <si>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</si>
  <si>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</si>
  <si>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</si>
  <si>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</si>
  <si>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</si>
  <si>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</si>
  <si>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</si>
  <si>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</si>
  <si>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</si>
  <si>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</si>
  <si>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</si>
  <si>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</si>
  <si>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</si>
  <si>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</si>
  <si>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</si>
  <si>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</si>
  <si>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</si>
  <si>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</si>
  <si>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</si>
  <si>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</si>
  <si>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</si>
  <si>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</si>
  <si>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</si>
  <si>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</si>
  <si>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</si>
  <si>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</si>
  <si>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</si>
  <si>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</si>
  <si>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</si>
  <si>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</si>
  <si>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</si>
  <si>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</si>
  <si>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</si>
  <si>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</si>
  <si>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</si>
  <si>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</si>
  <si>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</si>
  <si>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</si>
  <si>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</si>
  <si>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</si>
  <si>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</si>
  <si>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</si>
  <si>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409</t>
    <phoneticPr fontId="3" type="noConversion"/>
  </si>
  <si>
    <t>709</t>
  </si>
  <si>
    <t>410</t>
    <phoneticPr fontId="3" type="noConversion"/>
  </si>
  <si>
    <t>720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</si>
  <si>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</si>
  <si>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</si>
  <si>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</si>
  <si>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</si>
  <si>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</si>
  <si>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</si>
  <si>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</si>
  <si>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</si>
  <si>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</si>
  <si>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</si>
  <si>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</si>
  <si>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</si>
  <si>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</si>
  <si>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</si>
  <si>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</si>
  <si>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</si>
  <si>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</si>
  <si>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</si>
  <si>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</si>
  <si>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</si>
  <si>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</si>
  <si>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</si>
  <si>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</si>
  <si>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</si>
  <si>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</si>
  <si>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</si>
  <si>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</si>
  <si>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</si>
  <si>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</si>
  <si>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</si>
  <si>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</si>
  <si>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</si>
  <si>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</si>
  <si>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</si>
  <si>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</si>
  <si>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</si>
  <si>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</si>
  <si>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</si>
  <si>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</si>
  <si>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</si>
  <si>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</si>
  <si>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</si>
  <si>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</si>
  <si>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</si>
  <si>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</si>
  <si>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</si>
  <si>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</si>
  <si>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</si>
  <si>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</si>
  <si>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</si>
  <si>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</si>
  <si>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</si>
  <si>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</si>
  <si>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</si>
  <si>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</si>
  <si>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</si>
  <si>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</si>
  <si>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</si>
  <si>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</si>
  <si>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</si>
  <si>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</si>
  <si>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</si>
  <si>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</si>
  <si>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</si>
  <si>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</si>
  <si>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</si>
  <si>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</si>
  <si>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</si>
  <si>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</si>
  <si>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</si>
  <si>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</si>
  <si>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</si>
  <si>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</si>
  <si>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</si>
  <si>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</si>
  <si>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</si>
  <si>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</si>
  <si>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</si>
  <si>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</si>
  <si>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</si>
  <si>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</si>
  <si>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</si>
  <si>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</si>
  <si>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</si>
  <si>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</si>
  <si>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</si>
  <si>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</si>
  <si>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</si>
  <si>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</si>
  <si>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</si>
  <si>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</si>
  <si>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</si>
  <si>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</si>
  <si>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</si>
  <si>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</si>
  <si>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</si>
  <si>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</si>
  <si>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</si>
  <si>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</si>
  <si>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</si>
  <si>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</si>
  <si>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</si>
  <si>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</si>
  <si>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</si>
  <si>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</si>
  <si>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</si>
  <si>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</si>
  <si>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</si>
  <si>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</si>
  <si>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</si>
  <si>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</si>
  <si>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</si>
  <si>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</si>
  <si>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</si>
  <si>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</si>
  <si>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</si>
  <si>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</si>
  <si>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</si>
  <si>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</si>
  <si>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</si>
  <si>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</si>
  <si>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</si>
  <si>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</si>
  <si>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</si>
  <si>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</si>
  <si>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</si>
  <si>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</si>
  <si>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</si>
  <si>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</si>
  <si>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</si>
  <si>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</si>
  <si>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</si>
  <si>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</si>
  <si>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</si>
  <si>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</si>
  <si>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</si>
  <si>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</si>
  <si>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</si>
  <si>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</si>
  <si>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</si>
  <si>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</si>
  <si>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</si>
  <si>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</si>
  <si>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</si>
  <si>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</si>
  <si>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</si>
  <si>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</si>
  <si>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</si>
  <si>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</si>
  <si>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</si>
  <si>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</si>
  <si>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</si>
  <si>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</si>
  <si>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</si>
  <si>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</si>
  <si>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</si>
  <si>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</si>
  <si>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</si>
  <si>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</si>
  <si>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</si>
  <si>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</si>
  <si>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</si>
  <si>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</si>
  <si>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</si>
  <si>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</si>
  <si>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</si>
  <si>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</si>
  <si>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</si>
  <si>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</si>
  <si>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</si>
  <si>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</si>
  <si>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</si>
  <si>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</si>
  <si>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</si>
  <si>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</si>
  <si>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</si>
  <si>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</si>
  <si>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</si>
  <si>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</si>
  <si>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</si>
  <si>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</si>
  <si>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</si>
  <si>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</si>
  <si>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</si>
  <si>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</si>
  <si>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</si>
  <si>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</si>
  <si>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</si>
  <si>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</si>
  <si>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</si>
  <si>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</si>
  <si>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</si>
  <si>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</si>
  <si>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</si>
  <si>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</si>
  <si>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</si>
  <si>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</si>
  <si>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</si>
  <si>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</si>
  <si>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</si>
  <si>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</si>
  <si>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</si>
  <si>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</si>
  <si>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</si>
  <si>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</si>
  <si>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</si>
  <si>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</si>
  <si>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</si>
  <si>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</si>
  <si>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</si>
  <si>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</si>
  <si>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</si>
  <si>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</si>
  <si>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</si>
  <si>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</si>
  <si>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</si>
  <si>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</si>
  <si>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</si>
  <si>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</si>
  <si>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</si>
  <si>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</si>
  <si>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</si>
  <si>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</si>
  <si>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</si>
  <si>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</si>
  <si>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</si>
  <si>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</si>
  <si>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</si>
  <si>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</si>
  <si>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</si>
  <si>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</si>
  <si>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</si>
  <si>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</si>
  <si>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</si>
  <si>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</si>
  <si>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</si>
  <si>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</si>
  <si>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</si>
  <si>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</si>
  <si>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</si>
  <si>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</si>
  <si>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</si>
  <si>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</si>
  <si>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</si>
  <si>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</si>
  <si>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</si>
  <si>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</si>
  <si>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</si>
  <si>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</si>
  <si>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</si>
  <si>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</si>
  <si>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</si>
  <si>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</si>
  <si>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</si>
  <si>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</si>
  <si>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</si>
  <si>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</si>
  <si>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</si>
  <si>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</si>
  <si>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</si>
  <si>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</si>
  <si>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</si>
  <si>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</si>
  <si>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</si>
  <si>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</si>
  <si>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</si>
  <si>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</si>
  <si>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</si>
  <si>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</si>
  <si>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</si>
  <si>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</si>
  <si>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</si>
  <si>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</si>
  <si>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</si>
  <si>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</si>
  <si>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</si>
  <si>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</si>
  <si>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</si>
  <si>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</si>
  <si>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</si>
  <si>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</si>
  <si>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</si>
  <si>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</si>
  <si>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</si>
  <si>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</si>
  <si>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</si>
  <si>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</si>
  <si>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</si>
  <si>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</si>
  <si>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</si>
  <si>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</si>
  <si>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</si>
  <si>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</si>
  <si>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</si>
  <si>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</si>
  <si>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</si>
  <si>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</si>
  <si>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</si>
  <si>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</si>
  <si>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</si>
  <si>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</si>
  <si>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</si>
  <si>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</si>
  <si>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</si>
  <si>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</si>
  <si>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</si>
  <si>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</si>
  <si>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</si>
  <si>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</si>
  <si>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</si>
  <si>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</si>
  <si>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861</t>
    <phoneticPr fontId="3" type="noConversion"/>
  </si>
  <si>
    <t>862</t>
    <phoneticPr fontId="3" type="noConversion"/>
  </si>
  <si>
    <t>876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</si>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</sst>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 "/>
    <numFmt numFmtId="177" formatCode="###,###,###,###,###,###,###&quot; 원&quot;"/>
    <numFmt numFmtId="178" formatCode="0.0%"/>
    <numFmt numFmtId="179" formatCode="&quot;만&quot;\ ##\ &quot;세&quot;"/>
    <numFmt numFmtId="180" formatCode="##\ &quot;세&quot;"/>
    <numFmt numFmtId="181" formatCode="####&quot;년&quot;"/>
    <numFmt numFmtId="182" formatCode="#,##0_ ;[Red]\-#,##0\ "/>
    <numFmt numFmtId="183" formatCode="yyyymmdd"/>
  </numFmts>
  <fonts count="6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8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b/>
      <sz val="14"/>
      <name val="돋움"/>
      <family val="3"/>
      <charset val="129"/>
    </font>
    <font>
      <sz val="8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theme="0" tint="-0.14999847407452621"/>
      <name val="맑은 고딕"/>
      <family val="3"/>
      <charset val="129"/>
    </font>
    <font>
      <sz val="11"/>
      <name val="맑은 고딕"/>
      <family val="3"/>
      <charset val="129"/>
      <scheme val="minor"/>
    </font>
    <font>
      <u/>
      <sz val="11"/>
      <color rgb="FF0000FF"/>
      <name val="돋움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theme="0" tint="-4.9989318521683403E-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theme="0" tint="-4.9989318521683403E-2"/>
      <name val="맑은 고딕"/>
      <family val="3"/>
      <charset val="129"/>
    </font>
    <font>
      <b/>
      <sz val="12"/>
      <color indexed="56"/>
      <name val="맑은 고딕"/>
      <family val="3"/>
      <charset val="129"/>
    </font>
    <font>
      <b/>
      <sz val="12"/>
      <color indexed="1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u/>
      <sz val="10"/>
      <color indexed="8"/>
      <name val="맑은 고딕"/>
      <family val="3"/>
      <charset val="129"/>
    </font>
    <font>
      <b/>
      <u/>
      <sz val="10"/>
      <color indexed="10"/>
      <name val="맑은 고딕"/>
      <family val="3"/>
      <charset val="129"/>
    </font>
    <font>
      <sz val="11"/>
      <color theme="0" tint="-0.14999847407452621"/>
      <name val="맑은 고딕"/>
      <family val="3"/>
      <charset val="129"/>
      <scheme val="minor"/>
    </font>
    <font>
      <b/>
      <sz val="16"/>
      <color theme="1"/>
      <name val="Arial"/>
      <family val="2"/>
    </font>
    <font>
      <sz val="11"/>
      <name val="맑은 고딕"/>
      <family val="3"/>
      <charset val="129"/>
    </font>
    <font>
      <sz val="10"/>
      <name val="돋움"/>
      <family val="3"/>
      <charset val="129"/>
    </font>
    <font>
      <sz val="8"/>
      <name val="Arial"/>
      <family val="2"/>
    </font>
    <font>
      <b/>
      <sz val="11"/>
      <name val="돋움"/>
      <family val="3"/>
      <charset val="129"/>
    </font>
    <font>
      <b/>
      <sz val="11"/>
      <name val="맑은 고딕"/>
      <family val="3"/>
      <charset val="129"/>
    </font>
    <font>
      <sz val="11"/>
      <name val="돋움"/>
      <family val="3"/>
      <charset val="129"/>
    </font>
    <font>
      <b/>
      <sz val="10"/>
      <color rgb="FFFF0000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8"/>
      <color indexed="8"/>
      <name val="맑은 고딕"/>
      <family val="3"/>
      <charset val="129"/>
    </font>
    <font>
      <sz val="8"/>
      <color theme="0"/>
      <name val="맑은 고딕"/>
      <family val="3"/>
      <charset val="129"/>
    </font>
    <font>
      <u/>
      <sz val="10"/>
      <color indexed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rgb="FFFF0000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12"/>
      <color rgb="FF222222"/>
      <name val="맑은 고딕"/>
      <family val="3"/>
      <charset val="129"/>
      <scheme val="minor"/>
    </font>
    <font>
      <b/>
      <sz val="10"/>
      <color indexed="30"/>
      <name val="맑은 고딕"/>
      <family val="3"/>
      <charset val="129"/>
    </font>
    <font>
      <b/>
      <sz val="9"/>
      <color theme="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indexed="10"/>
      <name val="맑은 고딕"/>
      <family val="3"/>
      <charset val="129"/>
    </font>
    <font>
      <b/>
      <sz val="8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sz val="9"/>
      <color theme="7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rgb="FF000000"/>
      </patternFill>
    </fill>
  </fills>
  <borders count="10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9">
    <xf numFmtId="0" fontId="0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4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</cellStyleXfs>
  <cellXfs count="56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8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4" fillId="0" borderId="0" xfId="0" applyFont="1">
      <alignment vertical="center"/>
    </xf>
    <xf numFmtId="0" fontId="13" fillId="0" borderId="0" xfId="0" applyFont="1" applyAlignment="1">
      <alignment horizontal="left" vertical="center" indent="2"/>
    </xf>
    <xf numFmtId="0" fontId="14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2" fillId="0" borderId="0" xfId="0" applyFont="1">
      <alignment vertical="center"/>
    </xf>
    <xf numFmtId="0" fontId="17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49" fontId="12" fillId="0" borderId="2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 indent="1"/>
    </xf>
    <xf numFmtId="176" fontId="4" fillId="3" borderId="12" xfId="0" applyNumberFormat="1" applyFont="1" applyFill="1" applyBorder="1">
      <alignment vertical="center"/>
    </xf>
    <xf numFmtId="0" fontId="8" fillId="0" borderId="12" xfId="0" applyFont="1" applyBorder="1" applyAlignment="1">
      <alignment horizontal="center" vertical="center" wrapText="1"/>
    </xf>
    <xf numFmtId="176" fontId="4" fillId="3" borderId="32" xfId="0" applyNumberFormat="1" applyFont="1" applyFill="1" applyBorder="1">
      <alignment vertical="center"/>
    </xf>
    <xf numFmtId="176" fontId="4" fillId="3" borderId="34" xfId="0" applyNumberFormat="1" applyFont="1" applyFill="1" applyBorder="1">
      <alignment vertical="center"/>
    </xf>
    <xf numFmtId="0" fontId="8" fillId="0" borderId="32" xfId="0" applyFont="1" applyBorder="1" applyAlignment="1">
      <alignment horizontal="center" vertical="center" wrapText="1"/>
    </xf>
    <xf numFmtId="176" fontId="4" fillId="5" borderId="28" xfId="0" applyNumberFormat="1" applyFont="1" applyFill="1" applyBorder="1">
      <alignment vertical="center"/>
    </xf>
    <xf numFmtId="176" fontId="12" fillId="0" borderId="12" xfId="0" applyNumberFormat="1" applyFont="1" applyBorder="1">
      <alignment vertical="center"/>
    </xf>
    <xf numFmtId="0" fontId="8" fillId="0" borderId="5" xfId="0" applyFont="1" applyBorder="1" applyAlignment="1">
      <alignment horizontal="center" vertical="center" wrapText="1"/>
    </xf>
    <xf numFmtId="176" fontId="12" fillId="0" borderId="0" xfId="0" applyNumberFormat="1" applyFont="1">
      <alignment vertical="center"/>
    </xf>
    <xf numFmtId="176" fontId="4" fillId="6" borderId="12" xfId="0" applyNumberFormat="1" applyFont="1" applyFill="1" applyBorder="1">
      <alignment vertical="center"/>
    </xf>
    <xf numFmtId="176" fontId="4" fillId="6" borderId="32" xfId="0" applyNumberFormat="1" applyFont="1" applyFill="1" applyBorder="1">
      <alignment vertical="center"/>
    </xf>
    <xf numFmtId="176" fontId="4" fillId="6" borderId="34" xfId="0" applyNumberFormat="1" applyFont="1" applyFill="1" applyBorder="1">
      <alignment vertical="center"/>
    </xf>
    <xf numFmtId="176" fontId="4" fillId="6" borderId="28" xfId="0" applyNumberFormat="1" applyFont="1" applyFill="1" applyBorder="1">
      <alignment vertical="center"/>
    </xf>
    <xf numFmtId="176" fontId="12" fillId="0" borderId="26" xfId="0" applyNumberFormat="1" applyFont="1" applyBorder="1">
      <alignment vertical="center"/>
    </xf>
    <xf numFmtId="0" fontId="12" fillId="0" borderId="26" xfId="0" applyFont="1" applyBorder="1">
      <alignment vertical="center"/>
    </xf>
    <xf numFmtId="0" fontId="18" fillId="7" borderId="38" xfId="0" applyFont="1" applyFill="1" applyBorder="1">
      <alignment vertical="center"/>
    </xf>
    <xf numFmtId="0" fontId="18" fillId="7" borderId="27" xfId="0" applyFont="1" applyFill="1" applyBorder="1">
      <alignment vertical="center"/>
    </xf>
    <xf numFmtId="0" fontId="8" fillId="0" borderId="26" xfId="0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176" fontId="12" fillId="0" borderId="16" xfId="0" applyNumberFormat="1" applyFont="1" applyBorder="1">
      <alignment vertical="center"/>
    </xf>
    <xf numFmtId="41" fontId="8" fillId="0" borderId="41" xfId="0" applyNumberFormat="1" applyFont="1" applyBorder="1" applyAlignment="1">
      <alignment horizontal="center" vertical="center" wrapText="1"/>
    </xf>
    <xf numFmtId="41" fontId="21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41" fontId="1" fillId="0" borderId="0" xfId="1" applyFont="1">
      <alignment vertical="center"/>
    </xf>
    <xf numFmtId="176" fontId="12" fillId="3" borderId="22" xfId="0" applyNumberFormat="1" applyFont="1" applyFill="1" applyBorder="1" applyAlignment="1">
      <alignment horizontal="right" vertical="center"/>
    </xf>
    <xf numFmtId="0" fontId="4" fillId="0" borderId="22" xfId="0" applyFont="1" applyBorder="1" applyAlignment="1">
      <alignment horizontal="center" vertical="center" wrapText="1"/>
    </xf>
    <xf numFmtId="41" fontId="4" fillId="0" borderId="0" xfId="0" applyNumberFormat="1" applyFont="1" applyAlignment="1">
      <alignment horizontal="left" vertical="center" wrapText="1" indent="1"/>
    </xf>
    <xf numFmtId="176" fontId="12" fillId="3" borderId="50" xfId="0" applyNumberFormat="1" applyFont="1" applyFill="1" applyBorder="1" applyAlignment="1">
      <alignment horizontal="right" vertical="center"/>
    </xf>
    <xf numFmtId="0" fontId="4" fillId="0" borderId="50" xfId="0" applyFont="1" applyBorder="1" applyAlignment="1">
      <alignment horizontal="center" vertical="center" wrapText="1"/>
    </xf>
    <xf numFmtId="176" fontId="12" fillId="3" borderId="28" xfId="0" applyNumberFormat="1" applyFont="1" applyFill="1" applyBorder="1" applyAlignment="1">
      <alignment horizontal="right" vertical="center"/>
    </xf>
    <xf numFmtId="41" fontId="4" fillId="0" borderId="0" xfId="1" applyFont="1" applyFill="1" applyBorder="1" applyAlignment="1">
      <alignment horizontal="left" vertical="center" wrapText="1" indent="1"/>
    </xf>
    <xf numFmtId="176" fontId="12" fillId="0" borderId="26" xfId="0" applyNumberFormat="1" applyFont="1" applyBorder="1" applyAlignment="1">
      <alignment horizontal="right" vertical="center"/>
    </xf>
    <xf numFmtId="0" fontId="4" fillId="0" borderId="26" xfId="0" applyFont="1" applyBorder="1" applyAlignment="1">
      <alignment horizontal="center" vertical="center" wrapText="1"/>
    </xf>
    <xf numFmtId="0" fontId="23" fillId="7" borderId="26" xfId="0" applyFont="1" applyFill="1" applyBorder="1" applyAlignment="1">
      <alignment horizontal="left" vertical="center" wrapText="1" indent="1"/>
    </xf>
    <xf numFmtId="0" fontId="18" fillId="7" borderId="29" xfId="0" applyFont="1" applyFill="1" applyBorder="1">
      <alignment vertical="center"/>
    </xf>
    <xf numFmtId="176" fontId="12" fillId="8" borderId="12" xfId="0" applyNumberFormat="1" applyFont="1" applyFill="1" applyBorder="1" applyAlignment="1">
      <alignment horizontal="right" vertical="center"/>
    </xf>
    <xf numFmtId="0" fontId="4" fillId="0" borderId="12" xfId="0" applyFont="1" applyBorder="1" applyAlignment="1">
      <alignment horizontal="center" vertical="center" wrapText="1"/>
    </xf>
    <xf numFmtId="176" fontId="12" fillId="8" borderId="53" xfId="0" applyNumberFormat="1" applyFont="1" applyFill="1" applyBorder="1" applyAlignment="1">
      <alignment horizontal="right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26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176" fontId="12" fillId="3" borderId="12" xfId="0" applyNumberFormat="1" applyFont="1" applyFill="1" applyBorder="1" applyAlignment="1">
      <alignment horizontal="right" vertical="center"/>
    </xf>
    <xf numFmtId="176" fontId="12" fillId="3" borderId="53" xfId="0" applyNumberFormat="1" applyFont="1" applyFill="1" applyBorder="1" applyAlignment="1">
      <alignment horizontal="right" vertical="center"/>
    </xf>
    <xf numFmtId="0" fontId="4" fillId="0" borderId="28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176" fontId="12" fillId="0" borderId="43" xfId="0" applyNumberFormat="1" applyFont="1" applyBorder="1" applyAlignment="1">
      <alignment horizontal="right" vertical="center"/>
    </xf>
    <xf numFmtId="0" fontId="4" fillId="0" borderId="43" xfId="0" applyFont="1" applyBorder="1" applyAlignment="1">
      <alignment vertical="center" wrapText="1"/>
    </xf>
    <xf numFmtId="0" fontId="4" fillId="0" borderId="44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12" fillId="0" borderId="5" xfId="0" applyFont="1" applyBorder="1" applyAlignment="1">
      <alignment horizontal="center" vertical="center"/>
    </xf>
    <xf numFmtId="176" fontId="12" fillId="8" borderId="28" xfId="3" applyNumberFormat="1" applyFont="1" applyFill="1" applyBorder="1" applyAlignment="1">
      <alignment horizontal="right" vertical="center"/>
    </xf>
    <xf numFmtId="0" fontId="4" fillId="0" borderId="26" xfId="0" applyFont="1" applyBorder="1" applyAlignment="1">
      <alignment horizontal="left" vertical="center" indent="1"/>
    </xf>
    <xf numFmtId="0" fontId="4" fillId="0" borderId="38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 indent="1"/>
    </xf>
    <xf numFmtId="0" fontId="12" fillId="0" borderId="5" xfId="0" applyFont="1" applyBorder="1" applyAlignment="1">
      <alignment horizontal="center" vertical="center" wrapText="1"/>
    </xf>
    <xf numFmtId="176" fontId="12" fillId="5" borderId="12" xfId="3" applyNumberFormat="1" applyFont="1" applyFill="1" applyBorder="1" applyAlignment="1">
      <alignment horizontal="right" vertical="center"/>
    </xf>
    <xf numFmtId="176" fontId="4" fillId="8" borderId="12" xfId="3" applyNumberFormat="1" applyFont="1" applyFill="1" applyBorder="1" applyAlignment="1">
      <alignment horizontal="right" vertical="center"/>
    </xf>
    <xf numFmtId="176" fontId="4" fillId="8" borderId="57" xfId="3" applyNumberFormat="1" applyFont="1" applyFill="1" applyBorder="1" applyAlignment="1">
      <alignment horizontal="right" vertical="center"/>
    </xf>
    <xf numFmtId="176" fontId="4" fillId="8" borderId="50" xfId="3" applyNumberFormat="1" applyFont="1" applyFill="1" applyBorder="1" applyAlignment="1">
      <alignment horizontal="right" vertical="center"/>
    </xf>
    <xf numFmtId="176" fontId="4" fillId="8" borderId="37" xfId="3" applyNumberFormat="1" applyFont="1" applyFill="1" applyBorder="1" applyAlignment="1">
      <alignment horizontal="right" vertical="center"/>
    </xf>
    <xf numFmtId="176" fontId="4" fillId="8" borderId="28" xfId="3" applyNumberFormat="1" applyFont="1" applyFill="1" applyBorder="1" applyAlignment="1">
      <alignment horizontal="right" vertical="center"/>
    </xf>
    <xf numFmtId="176" fontId="12" fillId="0" borderId="26" xfId="3" applyNumberFormat="1" applyFont="1" applyFill="1" applyBorder="1" applyAlignment="1">
      <alignment horizontal="right" vertical="center"/>
    </xf>
    <xf numFmtId="0" fontId="4" fillId="0" borderId="5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76" fontId="4" fillId="5" borderId="61" xfId="3" applyNumberFormat="1" applyFont="1" applyFill="1" applyBorder="1" applyAlignment="1">
      <alignment horizontal="right" vertical="center"/>
    </xf>
    <xf numFmtId="176" fontId="4" fillId="5" borderId="32" xfId="3" applyNumberFormat="1" applyFont="1" applyFill="1" applyBorder="1" applyAlignment="1">
      <alignment horizontal="right" vertical="center"/>
    </xf>
    <xf numFmtId="176" fontId="12" fillId="0" borderId="5" xfId="3" applyNumberFormat="1" applyFont="1" applyFill="1" applyBorder="1" applyAlignment="1">
      <alignment horizontal="right" vertical="center"/>
    </xf>
    <xf numFmtId="176" fontId="4" fillId="8" borderId="61" xfId="3" applyNumberFormat="1" applyFont="1" applyFill="1" applyBorder="1" applyAlignment="1">
      <alignment horizontal="right" vertical="center"/>
    </xf>
    <xf numFmtId="176" fontId="4" fillId="8" borderId="32" xfId="3" applyNumberFormat="1" applyFont="1" applyFill="1" applyBorder="1" applyAlignment="1">
      <alignment horizontal="right" vertical="center"/>
    </xf>
    <xf numFmtId="0" fontId="0" fillId="0" borderId="0" xfId="0" quotePrefix="1">
      <alignment vertical="center"/>
    </xf>
    <xf numFmtId="176" fontId="4" fillId="5" borderId="59" xfId="3" applyNumberFormat="1" applyFont="1" applyFill="1" applyBorder="1" applyAlignment="1">
      <alignment horizontal="right" vertical="center"/>
    </xf>
    <xf numFmtId="176" fontId="4" fillId="9" borderId="59" xfId="3" applyNumberFormat="1" applyFont="1" applyFill="1" applyBorder="1" applyAlignment="1">
      <alignment horizontal="right" vertical="center"/>
    </xf>
    <xf numFmtId="0" fontId="28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left" vertical="center" wrapText="1" indent="1"/>
    </xf>
    <xf numFmtId="0" fontId="4" fillId="0" borderId="58" xfId="0" applyFont="1" applyBorder="1" applyAlignment="1">
      <alignment horizontal="left" vertical="center" wrapText="1" indent="1"/>
    </xf>
    <xf numFmtId="0" fontId="4" fillId="0" borderId="36" xfId="0" applyFont="1" applyBorder="1" applyAlignment="1">
      <alignment horizontal="left" vertical="center" wrapText="1" indent="1"/>
    </xf>
    <xf numFmtId="176" fontId="4" fillId="9" borderId="32" xfId="3" applyNumberFormat="1" applyFont="1" applyFill="1" applyBorder="1" applyAlignment="1">
      <alignment horizontal="right" vertical="center"/>
    </xf>
    <xf numFmtId="0" fontId="17" fillId="0" borderId="26" xfId="0" applyFont="1" applyBorder="1" applyAlignment="1">
      <alignment horizontal="center" vertical="center"/>
    </xf>
    <xf numFmtId="176" fontId="17" fillId="0" borderId="26" xfId="3" applyNumberFormat="1" applyFont="1" applyFill="1" applyBorder="1" applyAlignment="1">
      <alignment horizontal="right" vertical="center"/>
    </xf>
    <xf numFmtId="176" fontId="17" fillId="0" borderId="5" xfId="3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 indent="1"/>
    </xf>
    <xf numFmtId="0" fontId="4" fillId="0" borderId="32" xfId="0" applyFont="1" applyBorder="1" applyAlignment="1">
      <alignment horizontal="left" vertical="center" indent="1"/>
    </xf>
    <xf numFmtId="0" fontId="4" fillId="0" borderId="35" xfId="0" applyFont="1" applyBorder="1" applyAlignment="1">
      <alignment horizontal="left" vertical="center" indent="1"/>
    </xf>
    <xf numFmtId="176" fontId="4" fillId="5" borderId="43" xfId="3" applyNumberFormat="1" applyFont="1" applyFill="1" applyBorder="1" applyAlignment="1">
      <alignment horizontal="center" vertical="center"/>
    </xf>
    <xf numFmtId="176" fontId="4" fillId="5" borderId="2" xfId="3" applyNumberFormat="1" applyFont="1" applyFill="1" applyBorder="1" applyAlignment="1">
      <alignment horizontal="right" vertical="center"/>
    </xf>
    <xf numFmtId="176" fontId="4" fillId="5" borderId="37" xfId="3" applyNumberFormat="1" applyFont="1" applyFill="1" applyBorder="1" applyAlignment="1">
      <alignment horizontal="right" vertical="center"/>
    </xf>
    <xf numFmtId="176" fontId="4" fillId="5" borderId="5" xfId="3" applyNumberFormat="1" applyFont="1" applyFill="1" applyBorder="1" applyAlignment="1">
      <alignment horizontal="right" vertical="center"/>
    </xf>
    <xf numFmtId="178" fontId="4" fillId="0" borderId="37" xfId="4" applyNumberFormat="1" applyFont="1" applyFill="1" applyBorder="1" applyAlignment="1">
      <alignment horizontal="right" vertical="center"/>
    </xf>
    <xf numFmtId="178" fontId="12" fillId="0" borderId="16" xfId="4" applyNumberFormat="1" applyFont="1" applyFill="1" applyBorder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179" fontId="0" fillId="4" borderId="0" xfId="0" applyNumberFormat="1" applyFill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80" fontId="4" fillId="5" borderId="5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 inden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1" fillId="11" borderId="38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81" fontId="28" fillId="0" borderId="65" xfId="0" applyNumberFormat="1" applyFont="1" applyBorder="1" applyAlignment="1">
      <alignment horizontal="center" vertical="center"/>
    </xf>
    <xf numFmtId="0" fontId="8" fillId="3" borderId="26" xfId="0" applyFont="1" applyFill="1" applyBorder="1" applyAlignment="1">
      <alignment horizontal="left" vertical="center" indent="1"/>
    </xf>
    <xf numFmtId="10" fontId="35" fillId="0" borderId="0" xfId="0" applyNumberFormat="1" applyFont="1">
      <alignment vertical="center"/>
    </xf>
    <xf numFmtId="10" fontId="0" fillId="0" borderId="0" xfId="0" applyNumberFormat="1">
      <alignment vertical="center"/>
    </xf>
    <xf numFmtId="0" fontId="0" fillId="0" borderId="32" xfId="0" applyBorder="1" applyAlignment="1">
      <alignment horizontal="center"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0" fillId="0" borderId="0" xfId="0" applyAlignment="1">
      <alignment horizontal="right" vertical="center"/>
    </xf>
    <xf numFmtId="0" fontId="40" fillId="4" borderId="5" xfId="0" applyFont="1" applyFill="1" applyBorder="1" applyAlignment="1">
      <alignment horizontal="center" vertical="center"/>
    </xf>
    <xf numFmtId="0" fontId="41" fillId="4" borderId="5" xfId="0" applyFont="1" applyFill="1" applyBorder="1" applyAlignment="1">
      <alignment horizontal="center" vertical="center"/>
    </xf>
    <xf numFmtId="0" fontId="41" fillId="12" borderId="5" xfId="0" applyFont="1" applyFill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38" fillId="0" borderId="5" xfId="0" applyNumberFormat="1" applyFont="1" applyBorder="1" applyAlignment="1">
      <alignment horizontal="center" vertical="center"/>
    </xf>
    <xf numFmtId="178" fontId="43" fillId="0" borderId="5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8" fillId="3" borderId="16" xfId="0" applyFont="1" applyFill="1" applyBorder="1" applyAlignment="1">
      <alignment horizontal="left" vertical="center" indent="1"/>
    </xf>
    <xf numFmtId="0" fontId="31" fillId="0" borderId="0" xfId="0" applyFont="1">
      <alignment vertical="center"/>
    </xf>
    <xf numFmtId="10" fontId="0" fillId="11" borderId="0" xfId="0" applyNumberFormat="1" applyFill="1">
      <alignment vertical="center"/>
    </xf>
    <xf numFmtId="0" fontId="19" fillId="0" borderId="0" xfId="0" applyFont="1">
      <alignment vertical="center"/>
    </xf>
    <xf numFmtId="0" fontId="45" fillId="0" borderId="0" xfId="0" applyFont="1" applyAlignment="1">
      <alignment vertical="center" shrinkToFit="1"/>
    </xf>
    <xf numFmtId="0" fontId="46" fillId="0" borderId="0" xfId="0" applyFont="1" applyAlignment="1">
      <alignment vertical="center" shrinkToFit="1"/>
    </xf>
    <xf numFmtId="0" fontId="0" fillId="4" borderId="0" xfId="0" applyFill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 wrapText="1"/>
    </xf>
    <xf numFmtId="0" fontId="44" fillId="0" borderId="0" xfId="0" applyFont="1">
      <alignment vertical="center"/>
    </xf>
    <xf numFmtId="9" fontId="8" fillId="3" borderId="43" xfId="0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4" fillId="2" borderId="7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22" fillId="0" borderId="0" xfId="5">
      <alignment vertical="center"/>
    </xf>
    <xf numFmtId="0" fontId="27" fillId="0" borderId="0" xfId="5" applyFont="1" applyAlignment="1">
      <alignment horizontal="right" vertical="center"/>
    </xf>
    <xf numFmtId="0" fontId="51" fillId="0" borderId="0" xfId="5" applyFont="1" applyAlignment="1">
      <alignment horizontal="left" vertical="center"/>
    </xf>
    <xf numFmtId="0" fontId="27" fillId="0" borderId="0" xfId="5" applyFont="1">
      <alignment vertical="center"/>
    </xf>
    <xf numFmtId="0" fontId="52" fillId="0" borderId="0" xfId="5" applyFont="1" applyAlignment="1">
      <alignment horizontal="left" vertical="center"/>
    </xf>
    <xf numFmtId="0" fontId="27" fillId="0" borderId="0" xfId="5" quotePrefix="1" applyFont="1" applyAlignment="1">
      <alignment horizontal="left" vertical="center"/>
    </xf>
    <xf numFmtId="0" fontId="53" fillId="0" borderId="0" xfId="5" quotePrefix="1" applyFont="1" applyAlignment="1">
      <alignment horizontal="left" vertical="center"/>
    </xf>
    <xf numFmtId="0" fontId="27" fillId="0" borderId="0" xfId="5" applyFont="1" applyAlignment="1">
      <alignment horizontal="left" vertical="center"/>
    </xf>
    <xf numFmtId="0" fontId="27" fillId="4" borderId="5" xfId="5" applyFont="1" applyFill="1" applyBorder="1" applyAlignment="1">
      <alignment horizontal="center" vertical="center"/>
    </xf>
    <xf numFmtId="0" fontId="27" fillId="0" borderId="5" xfId="5" applyFont="1" applyBorder="1" applyAlignment="1">
      <alignment horizontal="center" vertical="center"/>
    </xf>
    <xf numFmtId="0" fontId="27" fillId="0" borderId="5" xfId="5" applyFont="1" applyBorder="1" applyAlignment="1">
      <alignment horizontal="left" vertical="center" indent="1"/>
    </xf>
    <xf numFmtId="10" fontId="27" fillId="0" borderId="5" xfId="5" applyNumberFormat="1" applyFont="1" applyBorder="1" applyAlignment="1">
      <alignment horizontal="left" vertical="center" indent="1"/>
    </xf>
    <xf numFmtId="0" fontId="27" fillId="0" borderId="0" xfId="5" applyFont="1" applyAlignment="1">
      <alignment horizontal="left" vertical="center" indent="1"/>
    </xf>
    <xf numFmtId="0" fontId="27" fillId="0" borderId="0" xfId="5" applyFont="1" applyAlignment="1">
      <alignment horizontal="center" vertical="center"/>
    </xf>
    <xf numFmtId="0" fontId="27" fillId="0" borderId="81" xfId="5" applyFont="1" applyBorder="1" applyAlignment="1">
      <alignment horizontal="left" vertical="center"/>
    </xf>
    <xf numFmtId="0" fontId="27" fillId="0" borderId="82" xfId="5" applyFont="1" applyBorder="1" applyAlignment="1">
      <alignment horizontal="right" vertical="center"/>
    </xf>
    <xf numFmtId="0" fontId="27" fillId="0" borderId="83" xfId="5" applyFont="1" applyBorder="1" applyAlignment="1">
      <alignment horizontal="right" vertical="center"/>
    </xf>
    <xf numFmtId="0" fontId="27" fillId="12" borderId="84" xfId="5" applyFont="1" applyFill="1" applyBorder="1" applyAlignment="1">
      <alignment horizontal="left" vertical="center"/>
    </xf>
    <xf numFmtId="0" fontId="27" fillId="12" borderId="0" xfId="5" applyFont="1" applyFill="1" applyAlignment="1">
      <alignment horizontal="left" vertical="center"/>
    </xf>
    <xf numFmtId="0" fontId="27" fillId="12" borderId="85" xfId="5" applyFont="1" applyFill="1" applyBorder="1" applyAlignment="1">
      <alignment horizontal="right" vertical="center"/>
    </xf>
    <xf numFmtId="0" fontId="27" fillId="12" borderId="86" xfId="5" applyFont="1" applyFill="1" applyBorder="1" applyAlignment="1">
      <alignment horizontal="left" vertical="center"/>
    </xf>
    <xf numFmtId="0" fontId="27" fillId="12" borderId="87" xfId="5" applyFont="1" applyFill="1" applyBorder="1" applyAlignment="1">
      <alignment horizontal="left" vertical="center"/>
    </xf>
    <xf numFmtId="0" fontId="27" fillId="12" borderId="88" xfId="5" applyFont="1" applyFill="1" applyBorder="1" applyAlignment="1">
      <alignment horizontal="right" vertical="center"/>
    </xf>
    <xf numFmtId="0" fontId="27" fillId="4" borderId="0" xfId="5" applyFont="1" applyFill="1" applyAlignment="1">
      <alignment horizontal="right" vertical="center"/>
    </xf>
    <xf numFmtId="0" fontId="27" fillId="14" borderId="0" xfId="5" applyFont="1" applyFill="1" applyAlignment="1">
      <alignment horizontal="right" vertical="center" indent="1"/>
    </xf>
    <xf numFmtId="0" fontId="27" fillId="14" borderId="0" xfId="5" applyFont="1" applyFill="1" applyAlignment="1">
      <alignment horizontal="right" vertical="center" indent="2"/>
    </xf>
    <xf numFmtId="0" fontId="27" fillId="14" borderId="0" xfId="5" applyFont="1" applyFill="1" applyAlignment="1">
      <alignment horizontal="right" vertical="center"/>
    </xf>
    <xf numFmtId="0" fontId="27" fillId="14" borderId="0" xfId="5" applyFont="1" applyFill="1" applyAlignment="1">
      <alignment horizontal="center" vertical="center"/>
    </xf>
    <xf numFmtId="0" fontId="27" fillId="14" borderId="0" xfId="5" applyFont="1" applyFill="1">
      <alignment vertical="center"/>
    </xf>
    <xf numFmtId="0" fontId="27" fillId="4" borderId="0" xfId="5" applyFont="1" applyFill="1" applyAlignment="1">
      <alignment horizontal="right" vertical="center" indent="2"/>
    </xf>
    <xf numFmtId="182" fontId="27" fillId="4" borderId="0" xfId="5" applyNumberFormat="1" applyFont="1" applyFill="1" applyAlignment="1">
      <alignment horizontal="right" vertical="center"/>
    </xf>
    <xf numFmtId="0" fontId="27" fillId="4" borderId="0" xfId="5" applyFont="1" applyFill="1" applyAlignment="1">
      <alignment horizontal="left" vertical="center" indent="1"/>
    </xf>
    <xf numFmtId="0" fontId="27" fillId="4" borderId="0" xfId="5" applyFont="1" applyFill="1">
      <alignment vertical="center"/>
    </xf>
    <xf numFmtId="0" fontId="54" fillId="0" borderId="0" xfId="0" applyFont="1" applyAlignment="1">
      <alignment vertical="center" wrapText="1"/>
    </xf>
    <xf numFmtId="41" fontId="27" fillId="4" borderId="0" xfId="6" applyFont="1" applyFill="1" applyBorder="1" applyAlignment="1">
      <alignment horizontal="right" vertical="center"/>
    </xf>
    <xf numFmtId="0" fontId="52" fillId="0" borderId="0" xfId="5" applyFont="1" applyAlignment="1">
      <alignment horizontal="right" vertical="center" indent="1"/>
    </xf>
    <xf numFmtId="0" fontId="52" fillId="0" borderId="0" xfId="5" applyFont="1" applyAlignment="1">
      <alignment horizontal="right" vertical="center" indent="2"/>
    </xf>
    <xf numFmtId="41" fontId="52" fillId="0" borderId="0" xfId="6" applyFont="1" applyAlignment="1">
      <alignment horizontal="right" vertical="center"/>
    </xf>
    <xf numFmtId="0" fontId="52" fillId="0" borderId="0" xfId="5" applyFont="1" applyAlignment="1">
      <alignment horizontal="left" vertical="center" indent="1"/>
    </xf>
    <xf numFmtId="0" fontId="52" fillId="0" borderId="0" xfId="5" applyFont="1">
      <alignment vertical="center"/>
    </xf>
    <xf numFmtId="0" fontId="44" fillId="0" borderId="0" xfId="5" applyFont="1">
      <alignment vertical="center"/>
    </xf>
    <xf numFmtId="3" fontId="27" fillId="0" borderId="0" xfId="5" applyNumberFormat="1" applyFont="1" applyAlignment="1">
      <alignment horizontal="right" vertical="center"/>
    </xf>
    <xf numFmtId="0" fontId="27" fillId="7" borderId="0" xfId="5" applyFont="1" applyFill="1" applyAlignment="1">
      <alignment horizontal="right" vertical="center" indent="2"/>
    </xf>
    <xf numFmtId="182" fontId="27" fillId="7" borderId="0" xfId="5" applyNumberFormat="1" applyFont="1" applyFill="1" applyAlignment="1">
      <alignment horizontal="right" vertical="center"/>
    </xf>
    <xf numFmtId="0" fontId="27" fillId="7" borderId="0" xfId="5" applyFont="1" applyFill="1" applyAlignment="1">
      <alignment horizontal="left" vertical="center" indent="1"/>
    </xf>
    <xf numFmtId="41" fontId="27" fillId="7" borderId="0" xfId="6" applyFont="1" applyFill="1" applyBorder="1" applyAlignment="1">
      <alignment horizontal="right" vertical="center"/>
    </xf>
    <xf numFmtId="0" fontId="52" fillId="0" borderId="0" xfId="5" applyFont="1" applyAlignment="1">
      <alignment horizontal="right" vertical="center"/>
    </xf>
    <xf numFmtId="0" fontId="8" fillId="15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left" vertical="center" indent="1"/>
    </xf>
    <xf numFmtId="0" fontId="37" fillId="15" borderId="0" xfId="0" applyFont="1" applyFill="1" applyAlignment="1">
      <alignment horizontal="center" vertical="center"/>
    </xf>
    <xf numFmtId="0" fontId="37" fillId="15" borderId="0" xfId="0" applyFont="1" applyFill="1">
      <alignment vertical="center"/>
    </xf>
    <xf numFmtId="0" fontId="8" fillId="0" borderId="0" xfId="0" applyFont="1">
      <alignment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41" fillId="15" borderId="0" xfId="0" applyFont="1" applyFill="1">
      <alignment vertical="center"/>
    </xf>
    <xf numFmtId="0" fontId="8" fillId="15" borderId="89" xfId="0" applyFont="1" applyFill="1" applyBorder="1" applyAlignment="1">
      <alignment horizontal="center" vertical="center"/>
    </xf>
    <xf numFmtId="0" fontId="17" fillId="15" borderId="89" xfId="0" applyFont="1" applyFill="1" applyBorder="1" applyAlignment="1">
      <alignment horizontal="left" vertical="center" wrapText="1" indent="1"/>
    </xf>
    <xf numFmtId="0" fontId="8" fillId="15" borderId="90" xfId="0" applyFont="1" applyFill="1" applyBorder="1" applyAlignment="1">
      <alignment horizontal="center" vertical="center"/>
    </xf>
    <xf numFmtId="0" fontId="8" fillId="15" borderId="90" xfId="0" applyFont="1" applyFill="1" applyBorder="1" applyAlignment="1">
      <alignment horizontal="left" vertical="center" indent="1"/>
    </xf>
    <xf numFmtId="0" fontId="8" fillId="15" borderId="91" xfId="0" applyFont="1" applyFill="1" applyBorder="1" applyAlignment="1">
      <alignment horizontal="center" vertical="center"/>
    </xf>
    <xf numFmtId="0" fontId="8" fillId="15" borderId="91" xfId="0" applyFont="1" applyFill="1" applyBorder="1" applyAlignment="1">
      <alignment horizontal="left" vertical="center" wrapText="1" indent="1"/>
    </xf>
    <xf numFmtId="0" fontId="8" fillId="15" borderId="92" xfId="0" applyFont="1" applyFill="1" applyBorder="1" applyAlignment="1">
      <alignment horizontal="center" vertical="center"/>
    </xf>
    <xf numFmtId="0" fontId="8" fillId="15" borderId="92" xfId="0" applyFont="1" applyFill="1" applyBorder="1" applyAlignment="1">
      <alignment horizontal="left" vertical="center" wrapText="1" indent="1"/>
    </xf>
    <xf numFmtId="0" fontId="8" fillId="15" borderId="90" xfId="0" applyFont="1" applyFill="1" applyBorder="1" applyAlignment="1">
      <alignment horizontal="left" vertical="center" wrapText="1" indent="1"/>
    </xf>
    <xf numFmtId="0" fontId="8" fillId="15" borderId="93" xfId="0" applyFont="1" applyFill="1" applyBorder="1" applyAlignment="1">
      <alignment horizontal="center" vertical="center"/>
    </xf>
    <xf numFmtId="0" fontId="8" fillId="15" borderId="34" xfId="0" applyFont="1" applyFill="1" applyBorder="1" applyAlignment="1">
      <alignment horizontal="center" vertical="center"/>
    </xf>
    <xf numFmtId="0" fontId="8" fillId="15" borderId="33" xfId="0" applyFont="1" applyFill="1" applyBorder="1" applyAlignment="1">
      <alignment horizontal="left" vertical="center" wrapText="1" indent="1"/>
    </xf>
    <xf numFmtId="0" fontId="8" fillId="15" borderId="94" xfId="0" applyFont="1" applyFill="1" applyBorder="1" applyAlignment="1">
      <alignment vertical="center" wrapText="1"/>
    </xf>
    <xf numFmtId="0" fontId="8" fillId="15" borderId="89" xfId="0" applyFont="1" applyFill="1" applyBorder="1" applyAlignment="1">
      <alignment horizontal="left" vertical="center" wrapText="1" indent="1"/>
    </xf>
    <xf numFmtId="0" fontId="8" fillId="15" borderId="95" xfId="0" applyFont="1" applyFill="1" applyBorder="1" applyAlignment="1">
      <alignment horizontal="left" vertical="center" indent="1"/>
    </xf>
    <xf numFmtId="0" fontId="8" fillId="15" borderId="96" xfId="0" applyFont="1" applyFill="1" applyBorder="1" applyAlignment="1">
      <alignment horizontal="left" vertical="center" indent="1"/>
    </xf>
    <xf numFmtId="0" fontId="37" fillId="15" borderId="91" xfId="0" applyFont="1" applyFill="1" applyBorder="1" applyAlignment="1">
      <alignment horizontal="center" vertical="center"/>
    </xf>
    <xf numFmtId="0" fontId="8" fillId="15" borderId="95" xfId="0" applyFont="1" applyFill="1" applyBorder="1" applyAlignment="1">
      <alignment horizontal="left" vertical="center" wrapText="1" indent="1"/>
    </xf>
    <xf numFmtId="0" fontId="8" fillId="15" borderId="96" xfId="0" applyFont="1" applyFill="1" applyBorder="1" applyAlignment="1">
      <alignment horizontal="left" vertical="center" wrapText="1" indent="1"/>
    </xf>
    <xf numFmtId="0" fontId="8" fillId="15" borderId="98" xfId="0" applyFont="1" applyFill="1" applyBorder="1" applyAlignment="1">
      <alignment horizontal="left" vertical="center" indent="1"/>
    </xf>
    <xf numFmtId="0" fontId="56" fillId="16" borderId="0" xfId="0" applyFont="1" applyFill="1" applyAlignment="1">
      <alignment horizontal="centerContinuous" vertical="center" wrapText="1"/>
    </xf>
    <xf numFmtId="49" fontId="57" fillId="7" borderId="0" xfId="0" applyNumberFormat="1" applyFont="1" applyFill="1" applyAlignment="1">
      <alignment horizontal="center" vertical="center" wrapText="1"/>
    </xf>
    <xf numFmtId="0" fontId="57" fillId="7" borderId="0" xfId="0" applyFont="1" applyFill="1" applyAlignment="1">
      <alignment horizontal="center" vertical="center" wrapText="1"/>
    </xf>
    <xf numFmtId="0" fontId="57" fillId="7" borderId="0" xfId="3" applyNumberFormat="1" applyFont="1" applyFill="1" applyBorder="1" applyAlignment="1">
      <alignment horizontal="center" vertical="center" wrapText="1"/>
    </xf>
    <xf numFmtId="41" fontId="57" fillId="7" borderId="0" xfId="3" applyFont="1" applyFill="1" applyBorder="1" applyAlignment="1">
      <alignment horizontal="center" vertical="center" wrapText="1"/>
    </xf>
    <xf numFmtId="41" fontId="57" fillId="7" borderId="0" xfId="1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49" fontId="60" fillId="0" borderId="0" xfId="0" applyNumberFormat="1" applyFont="1" applyAlignment="1">
      <alignment horizontal="center" vertical="center"/>
    </xf>
    <xf numFmtId="183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41" fontId="60" fillId="0" borderId="0" xfId="7" applyFont="1" applyFill="1" applyBorder="1" applyAlignment="1">
      <alignment horizontal="center" vertical="center"/>
    </xf>
    <xf numFmtId="41" fontId="8" fillId="0" borderId="0" xfId="8" applyFont="1" applyFill="1" applyBorder="1" applyAlignment="1">
      <alignment horizontal="center" vertical="center"/>
    </xf>
    <xf numFmtId="183" fontId="26" fillId="0" borderId="0" xfId="0" applyNumberFormat="1" applyFont="1" applyAlignment="1">
      <alignment horizontal="center" vertical="center"/>
    </xf>
    <xf numFmtId="41" fontId="60" fillId="0" borderId="0" xfId="1" applyFont="1" applyFill="1" applyBorder="1" applyAlignment="1">
      <alignment horizontal="center" vertical="center"/>
    </xf>
    <xf numFmtId="14" fontId="60" fillId="0" borderId="0" xfId="0" applyNumberFormat="1" applyFont="1" applyAlignment="1">
      <alignment horizontal="center" vertical="center"/>
    </xf>
    <xf numFmtId="0" fontId="60" fillId="15" borderId="0" xfId="0" applyFont="1" applyFill="1" applyAlignment="1">
      <alignment horizontal="center" vertical="center"/>
    </xf>
    <xf numFmtId="41" fontId="57" fillId="7" borderId="0" xfId="3" applyFont="1" applyFill="1" applyBorder="1" applyAlignment="1">
      <alignment horizontal="center" vertical="center"/>
    </xf>
    <xf numFmtId="0" fontId="61" fillId="15" borderId="0" xfId="0" applyFont="1" applyFill="1" applyAlignment="1">
      <alignment horizontal="center" vertical="center"/>
    </xf>
    <xf numFmtId="0" fontId="62" fillId="15" borderId="0" xfId="0" applyFont="1" applyFill="1" applyAlignment="1">
      <alignment horizontal="center" vertical="center"/>
    </xf>
    <xf numFmtId="183" fontId="60" fillId="4" borderId="0" xfId="0" applyNumberFormat="1" applyFont="1" applyFill="1" applyAlignment="1">
      <alignment horizontal="center" vertical="center"/>
    </xf>
    <xf numFmtId="0" fontId="61" fillId="15" borderId="0" xfId="0" applyFont="1" applyFill="1" applyAlignment="1">
      <alignment horizontal="center" vertical="center" wrapText="1"/>
    </xf>
    <xf numFmtId="0" fontId="59" fillId="15" borderId="0" xfId="0" applyFont="1" applyFill="1" applyAlignment="1">
      <alignment horizontal="center" vertical="center"/>
    </xf>
    <xf numFmtId="0" fontId="57" fillId="17" borderId="0" xfId="0" applyFont="1" applyFill="1" applyAlignment="1">
      <alignment horizontal="center" vertical="center"/>
    </xf>
    <xf numFmtId="183" fontId="60" fillId="0" borderId="0" xfId="3" applyNumberFormat="1" applyFont="1" applyFill="1" applyBorder="1" applyAlignment="1">
      <alignment horizontal="center" vertical="center"/>
    </xf>
    <xf numFmtId="0" fontId="60" fillId="4" borderId="0" xfId="0" applyFont="1" applyFill="1" applyAlignment="1">
      <alignment horizontal="center" vertical="center"/>
    </xf>
    <xf numFmtId="183" fontId="60" fillId="4" borderId="0" xfId="3" applyNumberFormat="1" applyFont="1" applyFill="1" applyBorder="1" applyAlignment="1">
      <alignment horizontal="center" vertical="center"/>
    </xf>
    <xf numFmtId="41" fontId="60" fillId="4" borderId="0" xfId="7" applyFont="1" applyFill="1" applyBorder="1" applyAlignment="1">
      <alignment horizontal="center" vertical="center"/>
    </xf>
    <xf numFmtId="41" fontId="60" fillId="4" borderId="0" xfId="3" applyFont="1" applyFill="1" applyBorder="1" applyAlignment="1">
      <alignment horizontal="center" vertical="center"/>
    </xf>
    <xf numFmtId="41" fontId="61" fillId="4" borderId="0" xfId="7" applyFont="1" applyFill="1" applyBorder="1" applyAlignment="1">
      <alignment horizontal="center" vertical="center"/>
    </xf>
    <xf numFmtId="41" fontId="60" fillId="4" borderId="0" xfId="1" applyFont="1" applyFill="1" applyBorder="1" applyAlignment="1">
      <alignment horizontal="center" vertical="center"/>
    </xf>
    <xf numFmtId="41" fontId="60" fillId="0" borderId="0" xfId="0" applyNumberFormat="1" applyFont="1" applyAlignment="1">
      <alignment horizontal="center" vertical="center"/>
    </xf>
    <xf numFmtId="41" fontId="60" fillId="0" borderId="0" xfId="3" applyFont="1" applyFill="1" applyBorder="1" applyAlignment="1">
      <alignment horizontal="center" vertical="center"/>
    </xf>
    <xf numFmtId="41" fontId="20" fillId="4" borderId="0" xfId="8" applyFont="1" applyFill="1" applyBorder="1" applyAlignment="1">
      <alignment horizontal="center" vertical="center"/>
    </xf>
    <xf numFmtId="0" fontId="60" fillId="0" borderId="0" xfId="3" applyNumberFormat="1" applyFont="1" applyFill="1" applyBorder="1" applyAlignment="1">
      <alignment horizontal="center" vertical="center"/>
    </xf>
    <xf numFmtId="0" fontId="56" fillId="16" borderId="0" xfId="0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41" fontId="60" fillId="4" borderId="0" xfId="1" applyFont="1" applyFill="1" applyBorder="1" applyAlignment="1">
      <alignment horizontal="left" vertical="center"/>
    </xf>
    <xf numFmtId="0" fontId="63" fillId="18" borderId="99" xfId="0" applyFont="1" applyFill="1" applyBorder="1" applyAlignment="1">
      <alignment horizontal="center" vertical="center" wrapText="1"/>
    </xf>
    <xf numFmtId="0" fontId="65" fillId="15" borderId="0" xfId="0" applyFont="1" applyFill="1" applyAlignment="1">
      <alignment horizontal="center" vertical="center" wrapText="1"/>
    </xf>
    <xf numFmtId="0" fontId="60" fillId="15" borderId="0" xfId="0" applyFont="1" applyFill="1" applyAlignment="1">
      <alignment horizontal="center" vertical="center" wrapText="1"/>
    </xf>
    <xf numFmtId="14" fontId="60" fillId="15" borderId="0" xfId="0" applyNumberFormat="1" applyFont="1" applyFill="1" applyAlignment="1">
      <alignment horizontal="center" vertical="center"/>
    </xf>
    <xf numFmtId="183" fontId="66" fillId="0" borderId="0" xfId="0" applyNumberFormat="1" applyFont="1" applyAlignment="1">
      <alignment horizontal="center" vertical="center"/>
    </xf>
    <xf numFmtId="14" fontId="60" fillId="4" borderId="0" xfId="0" applyNumberFormat="1" applyFont="1" applyFill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8" fillId="2" borderId="16" xfId="2" applyFont="1" applyFill="1" applyBorder="1" applyAlignment="1" applyProtection="1">
      <alignment horizontal="left" vertical="center" indent="2"/>
    </xf>
    <xf numFmtId="0" fontId="8" fillId="2" borderId="15" xfId="0" applyFont="1" applyFill="1" applyBorder="1" applyAlignment="1">
      <alignment horizontal="left" vertical="center" indent="2"/>
    </xf>
    <xf numFmtId="0" fontId="8" fillId="2" borderId="17" xfId="0" applyFont="1" applyFill="1" applyBorder="1" applyAlignment="1">
      <alignment horizontal="left" vertical="center" indent="2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0" fontId="4" fillId="0" borderId="3" xfId="0" applyFont="1" applyBorder="1" applyAlignment="1">
      <alignment horizontal="left" vertical="center" indent="2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indent="2"/>
    </xf>
    <xf numFmtId="0" fontId="4" fillId="2" borderId="6" xfId="0" applyFont="1" applyFill="1" applyBorder="1" applyAlignment="1">
      <alignment horizontal="left" vertical="center" indent="2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indent="2"/>
    </xf>
    <xf numFmtId="0" fontId="4" fillId="0" borderId="6" xfId="0" applyFont="1" applyBorder="1" applyAlignment="1">
      <alignment horizontal="left" vertical="center" indent="2"/>
    </xf>
    <xf numFmtId="0" fontId="12" fillId="2" borderId="18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14" fontId="12" fillId="0" borderId="26" xfId="0" applyNumberFormat="1" applyFont="1" applyBorder="1" applyAlignment="1">
      <alignment horizontal="center" vertical="center"/>
    </xf>
    <xf numFmtId="14" fontId="12" fillId="0" borderId="27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5" fillId="2" borderId="8" xfId="2" applyFill="1" applyBorder="1" applyAlignment="1" applyProtection="1">
      <alignment horizontal="left" vertical="center" indent="2"/>
    </xf>
    <xf numFmtId="0" fontId="8" fillId="2" borderId="8" xfId="0" applyFont="1" applyFill="1" applyBorder="1" applyAlignment="1">
      <alignment horizontal="left" vertical="center" indent="2"/>
    </xf>
    <xf numFmtId="0" fontId="8" fillId="2" borderId="9" xfId="0" applyFont="1" applyFill="1" applyBorder="1" applyAlignment="1">
      <alignment horizontal="left" vertical="center" indent="2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8" fillId="0" borderId="12" xfId="2" applyFont="1" applyFill="1" applyBorder="1" applyAlignment="1" applyProtection="1">
      <alignment horizontal="left" vertical="center" indent="2"/>
    </xf>
    <xf numFmtId="0" fontId="8" fillId="0" borderId="11" xfId="0" applyFont="1" applyBorder="1" applyAlignment="1">
      <alignment horizontal="left" vertical="center" indent="2"/>
    </xf>
    <xf numFmtId="0" fontId="8" fillId="0" borderId="13" xfId="0" applyFont="1" applyBorder="1" applyAlignment="1">
      <alignment horizontal="left" vertical="center" indent="2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41" fontId="1" fillId="4" borderId="0" xfId="1" applyFont="1" applyFill="1" applyAlignment="1">
      <alignment horizontal="center" vertical="center" wrapText="1"/>
    </xf>
    <xf numFmtId="41" fontId="1" fillId="4" borderId="0" xfId="1" applyFont="1" applyFill="1" applyAlignment="1">
      <alignment horizontal="center" vertical="center"/>
    </xf>
    <xf numFmtId="0" fontId="4" fillId="0" borderId="50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4" fontId="4" fillId="0" borderId="26" xfId="0" applyNumberFormat="1" applyFont="1" applyBorder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 indent="1"/>
    </xf>
    <xf numFmtId="0" fontId="4" fillId="0" borderId="38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 indent="1"/>
    </xf>
    <xf numFmtId="0" fontId="0" fillId="0" borderId="34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12" fillId="0" borderId="45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left" vertical="center" wrapText="1" indent="1"/>
    </xf>
    <xf numFmtId="0" fontId="4" fillId="0" borderId="13" xfId="0" applyFont="1" applyBorder="1" applyAlignment="1">
      <alignment horizontal="left" vertical="center" wrapText="1" indent="1"/>
    </xf>
    <xf numFmtId="0" fontId="4" fillId="0" borderId="28" xfId="0" applyFont="1" applyBorder="1" applyAlignment="1">
      <alignment horizontal="left" vertical="center" wrapText="1" indent="1"/>
    </xf>
    <xf numFmtId="0" fontId="4" fillId="0" borderId="58" xfId="0" applyFont="1" applyBorder="1" applyAlignment="1">
      <alignment horizontal="left" vertical="center" wrapText="1" indent="1"/>
    </xf>
    <xf numFmtId="0" fontId="4" fillId="0" borderId="36" xfId="0" applyFont="1" applyBorder="1" applyAlignment="1">
      <alignment horizontal="left" vertical="center" wrapText="1" indent="1"/>
    </xf>
    <xf numFmtId="41" fontId="12" fillId="0" borderId="26" xfId="3" applyFont="1" applyFill="1" applyBorder="1" applyAlignment="1">
      <alignment horizontal="center" vertical="center"/>
    </xf>
    <xf numFmtId="0" fontId="12" fillId="0" borderId="34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4" fillId="0" borderId="32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35" xfId="0" applyFont="1" applyBorder="1" applyAlignment="1">
      <alignment horizontal="left" vertical="center" wrapText="1" indent="1"/>
    </xf>
    <xf numFmtId="0" fontId="4" fillId="0" borderId="50" xfId="0" applyFont="1" applyBorder="1" applyAlignment="1">
      <alignment horizontal="center" vertical="center"/>
    </xf>
    <xf numFmtId="0" fontId="4" fillId="0" borderId="26" xfId="0" applyFont="1" applyBorder="1">
      <alignment vertical="center"/>
    </xf>
    <xf numFmtId="0" fontId="4" fillId="0" borderId="38" xfId="0" applyFont="1" applyBorder="1">
      <alignment vertical="center"/>
    </xf>
    <xf numFmtId="0" fontId="4" fillId="0" borderId="29" xfId="0" applyFont="1" applyBorder="1">
      <alignment vertical="center"/>
    </xf>
    <xf numFmtId="0" fontId="19" fillId="0" borderId="12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 wrapText="1"/>
    </xf>
    <xf numFmtId="0" fontId="12" fillId="10" borderId="19" xfId="0" applyFont="1" applyFill="1" applyBorder="1" applyAlignment="1">
      <alignment horizontal="center" vertical="center"/>
    </xf>
    <xf numFmtId="0" fontId="12" fillId="10" borderId="69" xfId="0" applyFont="1" applyFill="1" applyBorder="1" applyAlignment="1">
      <alignment horizontal="center" vertical="center" wrapText="1"/>
    </xf>
    <xf numFmtId="0" fontId="12" fillId="10" borderId="33" xfId="0" applyFont="1" applyFill="1" applyBorder="1" applyAlignment="1">
      <alignment horizontal="center" vertical="center"/>
    </xf>
    <xf numFmtId="0" fontId="12" fillId="10" borderId="69" xfId="0" applyFont="1" applyFill="1" applyBorder="1" applyAlignment="1">
      <alignment horizontal="center" vertical="center"/>
    </xf>
    <xf numFmtId="0" fontId="12" fillId="10" borderId="24" xfId="0" applyFont="1" applyFill="1" applyBorder="1" applyAlignment="1">
      <alignment horizontal="center" vertical="center"/>
    </xf>
    <xf numFmtId="0" fontId="12" fillId="10" borderId="25" xfId="0" applyFont="1" applyFill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14" fontId="4" fillId="0" borderId="67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 wrapText="1" indent="1"/>
    </xf>
    <xf numFmtId="0" fontId="4" fillId="0" borderId="56" xfId="0" applyFont="1" applyBorder="1" applyAlignment="1">
      <alignment horizontal="left" vertical="center" indent="1"/>
    </xf>
    <xf numFmtId="0" fontId="4" fillId="0" borderId="68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35" xfId="0" applyFont="1" applyBorder="1" applyAlignment="1">
      <alignment horizontal="left" vertical="center" indent="1"/>
    </xf>
    <xf numFmtId="0" fontId="4" fillId="0" borderId="32" xfId="0" applyFont="1" applyBorder="1" applyAlignment="1">
      <alignment horizontal="left" vertical="center" indent="1"/>
    </xf>
    <xf numFmtId="0" fontId="4" fillId="0" borderId="28" xfId="0" applyFont="1" applyBorder="1" applyAlignment="1">
      <alignment horizontal="left" vertical="center" indent="1"/>
    </xf>
    <xf numFmtId="0" fontId="4" fillId="0" borderId="58" xfId="0" applyFont="1" applyBorder="1" applyAlignment="1">
      <alignment horizontal="left" vertical="center" indent="1"/>
    </xf>
    <xf numFmtId="0" fontId="4" fillId="0" borderId="36" xfId="0" applyFont="1" applyBorder="1" applyAlignment="1">
      <alignment horizontal="left" vertical="center" indent="1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 indent="1"/>
    </xf>
    <xf numFmtId="0" fontId="17" fillId="0" borderId="38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2" fillId="0" borderId="10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64" xfId="0" applyFont="1" applyBorder="1" applyAlignment="1">
      <alignment vertical="center" wrapText="1"/>
    </xf>
    <xf numFmtId="0" fontId="12" fillId="0" borderId="65" xfId="0" applyFont="1" applyBorder="1" applyAlignment="1">
      <alignment vertical="center" wrapText="1"/>
    </xf>
    <xf numFmtId="0" fontId="12" fillId="0" borderId="59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 indent="1"/>
    </xf>
    <xf numFmtId="0" fontId="4" fillId="0" borderId="66" xfId="0" applyFont="1" applyBorder="1" applyAlignment="1">
      <alignment horizontal="left" vertical="center" indent="1"/>
    </xf>
    <xf numFmtId="0" fontId="4" fillId="0" borderId="44" xfId="0" applyFont="1" applyBorder="1" applyAlignment="1">
      <alignment horizontal="left" vertical="center" indent="1"/>
    </xf>
    <xf numFmtId="0" fontId="26" fillId="0" borderId="38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6" xfId="0" quotePrefix="1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 wrapText="1" indent="1"/>
    </xf>
    <xf numFmtId="0" fontId="4" fillId="0" borderId="38" xfId="0" applyFont="1" applyBorder="1" applyAlignment="1">
      <alignment horizontal="left" vertical="center" wrapText="1" indent="1"/>
    </xf>
    <xf numFmtId="0" fontId="4" fillId="0" borderId="29" xfId="0" applyFont="1" applyBorder="1" applyAlignment="1">
      <alignment horizontal="left" vertical="center" wrapText="1" indent="1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41" fontId="27" fillId="0" borderId="12" xfId="3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1" fontId="27" fillId="0" borderId="50" xfId="3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41" fontId="27" fillId="0" borderId="28" xfId="3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1" fontId="12" fillId="0" borderId="28" xfId="3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9" fontId="4" fillId="5" borderId="26" xfId="0" applyNumberFormat="1" applyFont="1" applyFill="1" applyBorder="1" applyAlignment="1">
      <alignment horizontal="center" vertical="center"/>
    </xf>
    <xf numFmtId="179" fontId="4" fillId="5" borderId="38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12" fillId="10" borderId="64" xfId="0" applyFont="1" applyFill="1" applyBorder="1" applyAlignment="1">
      <alignment horizontal="center" vertical="center"/>
    </xf>
    <xf numFmtId="0" fontId="12" fillId="10" borderId="65" xfId="0" applyFont="1" applyFill="1" applyBorder="1" applyAlignment="1">
      <alignment horizontal="center" vertical="center"/>
    </xf>
    <xf numFmtId="14" fontId="4" fillId="0" borderId="28" xfId="0" applyNumberFormat="1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14" fontId="12" fillId="0" borderId="16" xfId="0" applyNumberFormat="1" applyFont="1" applyBorder="1" applyAlignment="1">
      <alignment horizontal="center" vertical="center"/>
    </xf>
    <xf numFmtId="14" fontId="12" fillId="0" borderId="42" xfId="0" applyNumberFormat="1" applyFont="1" applyBorder="1" applyAlignment="1">
      <alignment horizontal="center" vertical="center"/>
    </xf>
    <xf numFmtId="0" fontId="12" fillId="0" borderId="8" xfId="0" quotePrefix="1" applyFont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indent="1"/>
    </xf>
    <xf numFmtId="0" fontId="8" fillId="0" borderId="13" xfId="0" applyFont="1" applyBorder="1" applyAlignment="1">
      <alignment horizontal="left" vertical="center" indent="1"/>
    </xf>
    <xf numFmtId="0" fontId="8" fillId="0" borderId="28" xfId="0" applyFont="1" applyBorder="1" applyAlignment="1">
      <alignment horizontal="left" vertical="center" indent="1"/>
    </xf>
    <xf numFmtId="0" fontId="8" fillId="0" borderId="58" xfId="0" applyFont="1" applyBorder="1" applyAlignment="1">
      <alignment horizontal="left" vertical="center" indent="1"/>
    </xf>
    <xf numFmtId="0" fontId="8" fillId="0" borderId="36" xfId="0" applyFont="1" applyBorder="1" applyAlignment="1">
      <alignment horizontal="left" vertical="center" indent="1"/>
    </xf>
    <xf numFmtId="0" fontId="12" fillId="0" borderId="71" xfId="0" quotePrefix="1" applyFont="1" applyBorder="1" applyAlignment="1">
      <alignment horizontal="center" vertical="center"/>
    </xf>
    <xf numFmtId="0" fontId="4" fillId="6" borderId="53" xfId="0" applyFont="1" applyFill="1" applyBorder="1" applyAlignment="1">
      <alignment horizontal="center" vertical="center"/>
    </xf>
    <xf numFmtId="0" fontId="4" fillId="6" borderId="72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 indent="1"/>
    </xf>
    <xf numFmtId="0" fontId="4" fillId="6" borderId="26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left" vertical="center" wrapText="1" indent="1"/>
    </xf>
    <xf numFmtId="0" fontId="8" fillId="0" borderId="38" xfId="0" applyFont="1" applyBorder="1" applyAlignment="1">
      <alignment horizontal="left" vertical="center" indent="1"/>
    </xf>
    <xf numFmtId="0" fontId="8" fillId="0" borderId="29" xfId="0" applyFont="1" applyBorder="1" applyAlignment="1">
      <alignment horizontal="left" vertical="center" indent="1"/>
    </xf>
    <xf numFmtId="0" fontId="8" fillId="0" borderId="38" xfId="0" applyFont="1" applyBorder="1" applyAlignment="1">
      <alignment horizontal="left" vertical="center" wrapText="1" indent="1"/>
    </xf>
    <xf numFmtId="0" fontId="8" fillId="0" borderId="29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178" fontId="4" fillId="3" borderId="66" xfId="4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2" fillId="2" borderId="77" xfId="0" applyFont="1" applyFill="1" applyBorder="1" applyAlignment="1">
      <alignment horizontal="center" vertical="center" wrapText="1"/>
    </xf>
    <xf numFmtId="0" fontId="12" fillId="2" borderId="78" xfId="0" applyFont="1" applyFill="1" applyBorder="1" applyAlignment="1">
      <alignment horizontal="center" vertical="center" wrapText="1"/>
    </xf>
    <xf numFmtId="0" fontId="12" fillId="2" borderId="79" xfId="0" applyFont="1" applyFill="1" applyBorder="1" applyAlignment="1">
      <alignment horizontal="center" vertical="center" wrapText="1"/>
    </xf>
    <xf numFmtId="0" fontId="12" fillId="2" borderId="77" xfId="0" applyFont="1" applyFill="1" applyBorder="1" applyAlignment="1">
      <alignment horizontal="center" vertical="center"/>
    </xf>
    <xf numFmtId="0" fontId="0" fillId="2" borderId="78" xfId="0" applyFill="1" applyBorder="1" applyAlignment="1">
      <alignment horizontal="center" vertical="center"/>
    </xf>
    <xf numFmtId="0" fontId="0" fillId="2" borderId="80" xfId="0" applyFill="1" applyBorder="1" applyAlignment="1">
      <alignment horizontal="center" vertical="center"/>
    </xf>
    <xf numFmtId="10" fontId="38" fillId="0" borderId="8" xfId="0" applyNumberFormat="1" applyFont="1" applyBorder="1" applyAlignment="1">
      <alignment horizontal="center" vertical="center" wrapText="1"/>
    </xf>
    <xf numFmtId="10" fontId="38" fillId="0" borderId="37" xfId="0" applyNumberFormat="1" applyFont="1" applyBorder="1" applyAlignment="1">
      <alignment horizontal="center" vertical="center"/>
    </xf>
    <xf numFmtId="178" fontId="8" fillId="3" borderId="26" xfId="4" applyNumberFormat="1" applyFont="1" applyFill="1" applyBorder="1" applyAlignment="1">
      <alignment horizontal="center" vertical="center"/>
    </xf>
    <xf numFmtId="178" fontId="8" fillId="3" borderId="38" xfId="4" applyNumberFormat="1" applyFont="1" applyFill="1" applyBorder="1" applyAlignment="1">
      <alignment horizontal="center" vertical="center"/>
    </xf>
    <xf numFmtId="178" fontId="8" fillId="3" borderId="27" xfId="4" applyNumberFormat="1" applyFont="1" applyFill="1" applyBorder="1" applyAlignment="1">
      <alignment horizontal="center" vertical="center"/>
    </xf>
    <xf numFmtId="178" fontId="8" fillId="3" borderId="16" xfId="4" applyNumberFormat="1" applyFont="1" applyFill="1" applyBorder="1" applyAlignment="1">
      <alignment horizontal="center" vertical="center"/>
    </xf>
    <xf numFmtId="178" fontId="8" fillId="3" borderId="15" xfId="4" applyNumberFormat="1" applyFont="1" applyFill="1" applyBorder="1" applyAlignment="1">
      <alignment horizontal="center" vertical="center"/>
    </xf>
    <xf numFmtId="178" fontId="8" fillId="3" borderId="42" xfId="4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" fillId="3" borderId="66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center" vertical="center" wrapText="1"/>
    </xf>
    <xf numFmtId="0" fontId="12" fillId="6" borderId="38" xfId="0" applyFont="1" applyFill="1" applyBorder="1" applyAlignment="1">
      <alignment horizontal="center" vertical="center" wrapText="1"/>
    </xf>
    <xf numFmtId="0" fontId="8" fillId="0" borderId="73" xfId="0" applyFont="1" applyBorder="1" applyAlignment="1">
      <alignment horizontal="left" vertical="center" wrapText="1" indent="1"/>
    </xf>
    <xf numFmtId="0" fontId="8" fillId="0" borderId="13" xfId="0" applyFont="1" applyBorder="1" applyAlignment="1">
      <alignment horizontal="left" vertical="center" wrapText="1" indent="1"/>
    </xf>
    <xf numFmtId="0" fontId="8" fillId="0" borderId="74" xfId="0" applyFont="1" applyBorder="1" applyAlignment="1">
      <alignment horizontal="left" vertical="center" wrapText="1" indent="1"/>
    </xf>
    <xf numFmtId="0" fontId="8" fillId="0" borderId="35" xfId="0" applyFont="1" applyBorder="1" applyAlignment="1">
      <alignment horizontal="left" vertical="center" wrapText="1" indent="1"/>
    </xf>
    <xf numFmtId="0" fontId="8" fillId="0" borderId="75" xfId="0" applyFont="1" applyBorder="1" applyAlignment="1">
      <alignment horizontal="left" vertical="center" wrapText="1" indent="1"/>
    </xf>
    <xf numFmtId="0" fontId="8" fillId="0" borderId="44" xfId="0" applyFont="1" applyBorder="1" applyAlignment="1">
      <alignment horizontal="left" vertical="center" wrapText="1" indent="1"/>
    </xf>
    <xf numFmtId="0" fontId="19" fillId="13" borderId="0" xfId="0" applyFont="1" applyFill="1">
      <alignment vertical="center"/>
    </xf>
    <xf numFmtId="0" fontId="4" fillId="0" borderId="27" xfId="0" applyFont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 wrapText="1" indent="1"/>
    </xf>
    <xf numFmtId="0" fontId="0" fillId="0" borderId="29" xfId="0" applyBorder="1" applyAlignment="1">
      <alignment horizontal="left" vertical="center" wrapText="1" indent="1"/>
    </xf>
    <xf numFmtId="0" fontId="4" fillId="0" borderId="16" xfId="0" applyFont="1" applyBorder="1" applyAlignment="1">
      <alignment horizontal="left" vertical="center" wrapText="1" indent="1"/>
    </xf>
    <xf numFmtId="0" fontId="4" fillId="0" borderId="15" xfId="0" applyFont="1" applyBorder="1" applyAlignment="1">
      <alignment horizontal="left" vertical="center" wrapText="1" indent="1"/>
    </xf>
    <xf numFmtId="0" fontId="4" fillId="0" borderId="42" xfId="0" applyFont="1" applyBorder="1" applyAlignment="1">
      <alignment horizontal="left" vertical="center" wrapText="1" indent="1"/>
    </xf>
    <xf numFmtId="0" fontId="0" fillId="0" borderId="15" xfId="0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48" fillId="13" borderId="0" xfId="0" applyFont="1" applyFill="1">
      <alignment vertical="center"/>
    </xf>
    <xf numFmtId="0" fontId="48" fillId="13" borderId="0" xfId="0" applyFont="1" applyFill="1" applyAlignment="1">
      <alignment vertical="center" wrapText="1"/>
    </xf>
    <xf numFmtId="0" fontId="4" fillId="0" borderId="25" xfId="0" applyFont="1" applyBorder="1" applyAlignment="1">
      <alignment horizontal="left" vertical="center" wrapText="1" indent="1"/>
    </xf>
    <xf numFmtId="0" fontId="27" fillId="4" borderId="8" xfId="5" applyFont="1" applyFill="1" applyBorder="1" applyAlignment="1">
      <alignment horizontal="center" vertical="center"/>
    </xf>
    <xf numFmtId="0" fontId="27" fillId="4" borderId="34" xfId="5" applyFont="1" applyFill="1" applyBorder="1" applyAlignment="1">
      <alignment horizontal="center" vertical="center"/>
    </xf>
    <xf numFmtId="0" fontId="27" fillId="4" borderId="37" xfId="5" applyFont="1" applyFill="1" applyBorder="1" applyAlignment="1">
      <alignment horizontal="center" vertical="center"/>
    </xf>
    <xf numFmtId="0" fontId="27" fillId="4" borderId="5" xfId="5" applyFont="1" applyFill="1" applyBorder="1" applyAlignment="1">
      <alignment horizontal="center" vertical="center"/>
    </xf>
    <xf numFmtId="0" fontId="8" fillId="15" borderId="8" xfId="0" applyFont="1" applyFill="1" applyBorder="1" applyAlignment="1">
      <alignment horizontal="center" vertical="center" wrapText="1"/>
    </xf>
    <xf numFmtId="0" fontId="8" fillId="15" borderId="34" xfId="0" applyFont="1" applyFill="1" applyBorder="1" applyAlignment="1">
      <alignment horizontal="center" vertical="center" wrapText="1"/>
    </xf>
    <xf numFmtId="0" fontId="8" fillId="15" borderId="37" xfId="0" applyFont="1" applyFill="1" applyBorder="1" applyAlignment="1">
      <alignment horizontal="center" vertical="center" wrapText="1"/>
    </xf>
    <xf numFmtId="0" fontId="8" fillId="15" borderId="94" xfId="0" applyFont="1" applyFill="1" applyBorder="1" applyAlignment="1">
      <alignment horizontal="center" vertical="center"/>
    </xf>
    <xf numFmtId="0" fontId="8" fillId="15" borderId="97" xfId="0" applyFont="1" applyFill="1" applyBorder="1" applyAlignment="1">
      <alignment horizontal="center" vertical="center"/>
    </xf>
  </cellXfs>
  <cellStyles count="9">
    <cellStyle name="백분율 2" xfId="4" xr:uid="{00000000-0005-0000-0000-000000000000}"/>
    <cellStyle name="쉼표 [0]" xfId="1" builtinId="6"/>
    <cellStyle name="쉼표 [0] 2" xfId="8" xr:uid="{00000000-0005-0000-0000-000002000000}"/>
    <cellStyle name="쉼표 [0] 3" xfId="6" xr:uid="{00000000-0005-0000-0000-000003000000}"/>
    <cellStyle name="쉼표 [0] 4" xfId="3" xr:uid="{00000000-0005-0000-0000-000004000000}"/>
    <cellStyle name="쉼표 [0] 4 4" xfId="7" xr:uid="{00000000-0005-0000-0000-000005000000}"/>
    <cellStyle name="표준" xfId="0" builtinId="0"/>
    <cellStyle name="표준 3" xfId="5" xr:uid="{00000000-0005-0000-0000-000007000000}"/>
    <cellStyle name="하이퍼링크" xfId="2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9</xdr:row>
      <xdr:rowOff>57150</xdr:rowOff>
    </xdr:from>
    <xdr:to>
      <xdr:col>4</xdr:col>
      <xdr:colOff>0</xdr:colOff>
      <xdr:row>9</xdr:row>
      <xdr:rowOff>171450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2152650" y="1847850"/>
          <a:ext cx="390525" cy="114300"/>
        </a:xfrm>
        <a:prstGeom prst="rect">
          <a:avLst/>
        </a:prstGeom>
        <a:solidFill>
          <a:srgbClr val="FFFF99"/>
        </a:solidFill>
        <a:ln w="6350"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76200</xdr:colOff>
      <xdr:row>9</xdr:row>
      <xdr:rowOff>57150</xdr:rowOff>
    </xdr:from>
    <xdr:to>
      <xdr:col>4</xdr:col>
      <xdr:colOff>400050</xdr:colOff>
      <xdr:row>9</xdr:row>
      <xdr:rowOff>171450</xdr:rowOff>
    </xdr:to>
    <xdr:sp macro="" textlink="">
      <xdr:nvSpPr>
        <xdr:cNvPr id="3" name="직사각형 1">
          <a:extLst>
            <a:ext uri="{FF2B5EF4-FFF2-40B4-BE49-F238E27FC236}">
              <a16:creationId xmlns:a16="http://schemas.microsoft.com/office/drawing/2014/main" id="{00000000-0008-0000-0500-000009670000}"/>
            </a:ext>
          </a:extLst>
        </xdr:cNvPr>
        <xdr:cNvSpPr>
          <a:spLocks noChangeArrowheads="1"/>
        </xdr:cNvSpPr>
      </xdr:nvSpPr>
      <xdr:spPr bwMode="auto">
        <a:xfrm>
          <a:off x="2619375" y="1847850"/>
          <a:ext cx="323850" cy="114300"/>
        </a:xfrm>
        <a:prstGeom prst="rect">
          <a:avLst/>
        </a:prstGeom>
        <a:solidFill>
          <a:srgbClr val="CCFFFF"/>
        </a:solidFill>
        <a:ln w="6350" algn="ctr">
          <a:solidFill>
            <a:srgbClr val="385D8A"/>
          </a:solidFill>
          <a:prstDash val="sysDot"/>
          <a:miter lim="800000"/>
          <a:headEnd/>
          <a:tailEnd/>
        </a:ln>
      </xdr:spPr>
    </xdr:sp>
    <xdr:clientData/>
  </xdr:twoCellAnchor>
  <xdr:twoCellAnchor>
    <xdr:from>
      <xdr:col>7</xdr:col>
      <xdr:colOff>784412</xdr:colOff>
      <xdr:row>20</xdr:row>
      <xdr:rowOff>180415</xdr:rowOff>
    </xdr:from>
    <xdr:to>
      <xdr:col>9</xdr:col>
      <xdr:colOff>437029</xdr:colOff>
      <xdr:row>53</xdr:row>
      <xdr:rowOff>110378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6080312" y="4190440"/>
          <a:ext cx="1738592" cy="796906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868456</xdr:colOff>
      <xdr:row>54</xdr:row>
      <xdr:rowOff>90207</xdr:rowOff>
    </xdr:from>
    <xdr:to>
      <xdr:col>9</xdr:col>
      <xdr:colOff>182656</xdr:colOff>
      <xdr:row>101</xdr:row>
      <xdr:rowOff>198344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6164356" y="12348882"/>
          <a:ext cx="1400175" cy="838536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0</xdr:col>
      <xdr:colOff>0</xdr:colOff>
      <xdr:row>99</xdr:row>
      <xdr:rowOff>137272</xdr:rowOff>
    </xdr:from>
    <xdr:to>
      <xdr:col>10</xdr:col>
      <xdr:colOff>369794</xdr:colOff>
      <xdr:row>128</xdr:row>
      <xdr:rowOff>76760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0" y="20301697"/>
          <a:ext cx="8847044" cy="814051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19050</xdr:colOff>
      <xdr:row>9</xdr:row>
      <xdr:rowOff>171452</xdr:rowOff>
    </xdr:from>
    <xdr:to>
      <xdr:col>5</xdr:col>
      <xdr:colOff>361950</xdr:colOff>
      <xdr:row>17</xdr:row>
      <xdr:rowOff>200026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2009775" y="1962152"/>
          <a:ext cx="1438275" cy="173354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AB155"/>
  <sheetViews>
    <sheetView showGridLines="0" tabSelected="1" zoomScale="85" zoomScaleNormal="85" workbookViewId="0">
      <selection activeCell="P16" sqref="P16"/>
    </sheetView>
  </sheetViews>
  <sheetFormatPr defaultRowHeight="17" x14ac:dyDescent="0.45"/>
  <cols>
    <col min="1" max="1" width="3" customWidth="1"/>
    <col min="2" max="2" width="8" customWidth="1"/>
    <col min="3" max="3" width="15.08203125" customWidth="1"/>
    <col min="4" max="4" width="7.1640625" customWidth="1"/>
    <col min="5" max="5" width="7.08203125" customWidth="1"/>
    <col min="6" max="6" width="15.08203125" customWidth="1"/>
    <col min="7" max="7" width="13.9140625" customWidth="1"/>
    <col min="8" max="8" width="13.58203125" customWidth="1"/>
    <col min="9" max="9" width="13.6640625" customWidth="1"/>
    <col min="10" max="10" width="14.4140625" customWidth="1"/>
    <col min="11" max="11" width="6.5" customWidth="1"/>
    <col min="12" max="12" width="39.08203125" customWidth="1"/>
    <col min="13" max="13" width="23.4140625" customWidth="1"/>
    <col min="14" max="14" width="13.9140625" hidden="1" customWidth="1"/>
    <col min="15" max="15" width="56.1640625" hidden="1" customWidth="1"/>
    <col min="26" max="26" width="13.9140625" customWidth="1"/>
    <col min="27" max="27" width="15.5" customWidth="1"/>
    <col min="28" max="28" width="15.58203125" customWidth="1"/>
  </cols>
  <sheetData>
    <row r="1" spans="1:17" ht="23" x14ac:dyDescent="0.45">
      <c r="A1" s="297"/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1"/>
      <c r="N1" s="2"/>
      <c r="O1" s="2"/>
      <c r="P1" s="2"/>
      <c r="Q1" s="2"/>
    </row>
    <row r="2" spans="1:17" ht="23" x14ac:dyDescent="0.45"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</row>
    <row r="3" spans="1:17" ht="12" customHeight="1" x14ac:dyDescent="0.45">
      <c r="A3" s="4"/>
      <c r="B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</row>
    <row r="4" spans="1:17" ht="14.25" customHeight="1" x14ac:dyDescent="0.45">
      <c r="A4" s="4"/>
      <c r="B4" s="6" t="s">
        <v>1</v>
      </c>
      <c r="D4" s="5"/>
      <c r="E4" s="5"/>
      <c r="F4" s="5"/>
      <c r="G4" s="5"/>
      <c r="H4" s="5"/>
      <c r="I4" s="5"/>
      <c r="J4" s="5"/>
      <c r="K4" s="5"/>
      <c r="L4" s="5"/>
      <c r="M4" s="5"/>
      <c r="N4" s="2"/>
    </row>
    <row r="5" spans="1:17" ht="14.25" customHeight="1" x14ac:dyDescent="0.45">
      <c r="A5" s="4"/>
      <c r="B5" s="6" t="s">
        <v>2</v>
      </c>
      <c r="D5" s="5"/>
      <c r="E5" s="5"/>
      <c r="F5" s="5"/>
      <c r="G5" s="5"/>
      <c r="H5" s="5"/>
      <c r="I5" s="5"/>
      <c r="J5" s="5"/>
      <c r="K5" s="5"/>
      <c r="L5" s="5"/>
      <c r="M5" s="5"/>
      <c r="N5" s="2"/>
    </row>
    <row r="6" spans="1:17" ht="14.25" customHeight="1" x14ac:dyDescent="0.45">
      <c r="A6" s="4"/>
      <c r="B6" s="6" t="s">
        <v>3</v>
      </c>
      <c r="D6" s="5"/>
      <c r="E6" s="5"/>
      <c r="F6" s="5"/>
      <c r="G6" s="5"/>
      <c r="H6" s="5"/>
      <c r="I6" s="5"/>
      <c r="J6" s="5"/>
      <c r="K6" s="5"/>
      <c r="L6" s="5"/>
      <c r="M6" s="5"/>
      <c r="N6" s="2"/>
    </row>
    <row r="7" spans="1:17" ht="14.25" customHeight="1" x14ac:dyDescent="0.45">
      <c r="A7" s="4"/>
      <c r="B7" s="6"/>
      <c r="D7" s="5"/>
      <c r="E7" s="5"/>
      <c r="F7" s="5"/>
      <c r="G7" s="5"/>
      <c r="H7" s="5"/>
      <c r="I7" s="5"/>
      <c r="J7" s="5"/>
      <c r="K7" s="5"/>
      <c r="L7" s="5"/>
      <c r="M7" s="5"/>
      <c r="N7" s="2"/>
    </row>
    <row r="8" spans="1:17" ht="13.5" customHeight="1" x14ac:dyDescent="0.45">
      <c r="B8" s="7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7" ht="13.5" customHeight="1" x14ac:dyDescent="0.45"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7" ht="23" x14ac:dyDescent="0.45">
      <c r="B10" s="8" t="s">
        <v>5</v>
      </c>
      <c r="C10" s="1"/>
      <c r="D10" s="1"/>
      <c r="E10" s="1"/>
      <c r="F10" s="1"/>
      <c r="G10" s="1"/>
      <c r="H10" s="1"/>
      <c r="I10" s="1"/>
      <c r="J10" s="1"/>
      <c r="K10" s="1"/>
    </row>
    <row r="11" spans="1:17" ht="12" customHeight="1" thickBot="1" x14ac:dyDescent="0.5">
      <c r="B11" s="8"/>
      <c r="C11" s="1"/>
      <c r="D11" s="1"/>
      <c r="E11" s="1"/>
      <c r="F11" s="1"/>
      <c r="G11" s="1"/>
      <c r="H11" s="1"/>
      <c r="I11" s="1"/>
      <c r="J11" s="1"/>
      <c r="K11" s="1"/>
    </row>
    <row r="12" spans="1:17" x14ac:dyDescent="0.45">
      <c r="A12" s="9"/>
      <c r="B12" s="298" t="s">
        <v>6</v>
      </c>
      <c r="C12" s="299"/>
      <c r="D12" s="300"/>
      <c r="E12" s="300"/>
      <c r="F12" s="300"/>
      <c r="G12" s="300"/>
      <c r="H12" s="300"/>
      <c r="I12" s="300"/>
      <c r="J12" s="300"/>
      <c r="K12" s="300"/>
      <c r="L12" s="301"/>
      <c r="M12" s="10"/>
      <c r="N12" s="11">
        <f>D12</f>
        <v>0</v>
      </c>
    </row>
    <row r="13" spans="1:17" x14ac:dyDescent="0.45">
      <c r="A13" s="9"/>
      <c r="B13" s="302" t="s">
        <v>7</v>
      </c>
      <c r="C13" s="303"/>
      <c r="D13" s="304"/>
      <c r="E13" s="304"/>
      <c r="F13" s="304"/>
      <c r="G13" s="304"/>
      <c r="H13" s="304"/>
      <c r="I13" s="304"/>
      <c r="J13" s="304"/>
      <c r="K13" s="304"/>
      <c r="L13" s="305"/>
      <c r="M13" s="10"/>
      <c r="N13" s="11">
        <f>D13</f>
        <v>0</v>
      </c>
    </row>
    <row r="14" spans="1:17" x14ac:dyDescent="0.45">
      <c r="A14" s="9"/>
      <c r="B14" s="306" t="s">
        <v>8</v>
      </c>
      <c r="C14" s="307"/>
      <c r="D14" s="308"/>
      <c r="E14" s="308"/>
      <c r="F14" s="308"/>
      <c r="G14" s="308"/>
      <c r="H14" s="308"/>
      <c r="I14" s="308"/>
      <c r="J14" s="308"/>
      <c r="K14" s="308"/>
      <c r="L14" s="309"/>
      <c r="M14" s="10"/>
      <c r="N14" s="11">
        <f>D14</f>
        <v>0</v>
      </c>
    </row>
    <row r="15" spans="1:17" x14ac:dyDescent="0.45">
      <c r="A15" s="9"/>
      <c r="B15" s="323" t="s">
        <v>9</v>
      </c>
      <c r="C15" s="324"/>
      <c r="D15" s="325"/>
      <c r="E15" s="326"/>
      <c r="F15" s="326"/>
      <c r="G15" s="326"/>
      <c r="H15" s="326"/>
      <c r="I15" s="326"/>
      <c r="J15" s="326"/>
      <c r="K15" s="326"/>
      <c r="L15" s="327"/>
      <c r="M15" s="10"/>
      <c r="N15" s="11">
        <f>D15</f>
        <v>0</v>
      </c>
    </row>
    <row r="16" spans="1:17" x14ac:dyDescent="0.45">
      <c r="A16" s="9"/>
      <c r="B16" s="328" t="s">
        <v>10</v>
      </c>
      <c r="C16" s="329"/>
      <c r="D16" s="330" t="s">
        <v>11</v>
      </c>
      <c r="E16" s="331"/>
      <c r="F16" s="331"/>
      <c r="G16" s="331"/>
      <c r="H16" s="331"/>
      <c r="I16" s="331"/>
      <c r="J16" s="331"/>
      <c r="K16" s="331"/>
      <c r="L16" s="332"/>
      <c r="M16" s="10"/>
      <c r="N16" s="11">
        <f>D17</f>
        <v>0</v>
      </c>
    </row>
    <row r="17" spans="1:14" ht="17.5" thickBot="1" x14ac:dyDescent="0.5">
      <c r="A17" s="9"/>
      <c r="B17" s="333" t="s">
        <v>12</v>
      </c>
      <c r="C17" s="334"/>
      <c r="D17" s="277"/>
      <c r="E17" s="278"/>
      <c r="F17" s="278"/>
      <c r="G17" s="278"/>
      <c r="H17" s="278"/>
      <c r="I17" s="278"/>
      <c r="J17" s="278"/>
      <c r="K17" s="278"/>
      <c r="L17" s="279"/>
      <c r="M17" s="10"/>
      <c r="N17" s="11" t="str">
        <f>D16</f>
        <v>2022.12월말</v>
      </c>
    </row>
    <row r="18" spans="1:14" x14ac:dyDescent="0.4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4" ht="17.5" x14ac:dyDescent="0.45">
      <c r="B19" s="8" t="s">
        <v>13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4" ht="6.75" customHeight="1" x14ac:dyDescent="0.45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4" x14ac:dyDescent="0.45">
      <c r="B21" s="9" t="s">
        <v>14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4" ht="16.5" customHeight="1" x14ac:dyDescent="0.45">
      <c r="A22" s="8"/>
      <c r="B22" s="12" t="s">
        <v>15</v>
      </c>
      <c r="C22" s="9"/>
      <c r="D22" s="9"/>
      <c r="E22" s="9"/>
      <c r="F22" s="9"/>
      <c r="G22" s="9"/>
      <c r="H22" s="9"/>
      <c r="I22" s="9"/>
      <c r="J22" s="13" t="s">
        <v>16</v>
      </c>
      <c r="K22" s="9"/>
      <c r="L22" s="9"/>
      <c r="M22" s="9"/>
    </row>
    <row r="23" spans="1:14" ht="9" customHeight="1" thickBot="1" x14ac:dyDescent="0.5">
      <c r="A23" s="8"/>
      <c r="B23" s="14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4" x14ac:dyDescent="0.45">
      <c r="A24" s="9"/>
      <c r="B24" s="310" t="s">
        <v>17</v>
      </c>
      <c r="C24" s="311"/>
      <c r="D24" s="314" t="s">
        <v>18</v>
      </c>
      <c r="E24" s="315"/>
      <c r="F24" s="315"/>
      <c r="G24" s="315"/>
      <c r="H24" s="315"/>
      <c r="I24" s="315"/>
      <c r="J24" s="316" t="s">
        <v>19</v>
      </c>
      <c r="K24" s="314" t="s">
        <v>20</v>
      </c>
      <c r="L24" s="318"/>
      <c r="M24" s="15"/>
    </row>
    <row r="25" spans="1:14" ht="18" customHeight="1" x14ac:dyDescent="0.45">
      <c r="A25" s="9"/>
      <c r="B25" s="312"/>
      <c r="C25" s="313"/>
      <c r="D25" s="319" t="s">
        <v>21</v>
      </c>
      <c r="E25" s="320"/>
      <c r="F25" s="16" t="s">
        <v>22</v>
      </c>
      <c r="G25" s="16" t="s">
        <v>23</v>
      </c>
      <c r="H25" s="16" t="s">
        <v>24</v>
      </c>
      <c r="I25" s="16" t="s">
        <v>25</v>
      </c>
      <c r="J25" s="317"/>
      <c r="K25" s="321" t="s">
        <v>26</v>
      </c>
      <c r="L25" s="322"/>
      <c r="M25" s="17"/>
    </row>
    <row r="26" spans="1:14" ht="16.5" customHeight="1" x14ac:dyDescent="0.45">
      <c r="A26" s="9"/>
      <c r="B26" s="366" t="s">
        <v>27</v>
      </c>
      <c r="C26" s="370" t="s">
        <v>28</v>
      </c>
      <c r="D26" s="295" t="s">
        <v>29</v>
      </c>
      <c r="E26" s="296"/>
      <c r="F26" s="18">
        <v>13</v>
      </c>
      <c r="G26" s="18">
        <v>16</v>
      </c>
      <c r="H26" s="18">
        <v>16</v>
      </c>
      <c r="I26" s="18">
        <f>COUNTIF('(2-2) 재직자 명부'!$I:$I,3)</f>
        <v>16</v>
      </c>
      <c r="J26" s="19" t="b">
        <f>COUNTIF('(2-2) 재직자 명부'!I:I,3)=I26</f>
        <v>1</v>
      </c>
      <c r="K26" s="280" t="s">
        <v>30</v>
      </c>
      <c r="L26" s="281"/>
      <c r="N26" s="355" t="s">
        <v>31</v>
      </c>
    </row>
    <row r="27" spans="1:14" x14ac:dyDescent="0.45">
      <c r="A27" s="9"/>
      <c r="B27" s="367"/>
      <c r="C27" s="307"/>
      <c r="D27" s="286" t="s">
        <v>32</v>
      </c>
      <c r="E27" s="287"/>
      <c r="F27" s="20">
        <v>293</v>
      </c>
      <c r="G27" s="21">
        <v>304</v>
      </c>
      <c r="H27" s="20">
        <v>304</v>
      </c>
      <c r="I27" s="21">
        <f>COUNTIF('(2-2) 재직자 명부'!$I:$I,1)</f>
        <v>312</v>
      </c>
      <c r="J27" s="22" t="b">
        <f>COUNTIF('(2-2) 재직자 명부'!I:I,1)+COUNTIF('(2-2) 재직자 명부'!I:I,2)=I27</f>
        <v>1</v>
      </c>
      <c r="K27" s="282"/>
      <c r="L27" s="283"/>
      <c r="N27" s="356"/>
    </row>
    <row r="28" spans="1:14" ht="16.5" customHeight="1" x14ac:dyDescent="0.45">
      <c r="A28" s="9"/>
      <c r="B28" s="367"/>
      <c r="C28" s="307"/>
      <c r="D28" s="288" t="s">
        <v>33</v>
      </c>
      <c r="E28" s="289"/>
      <c r="F28" s="23">
        <v>83</v>
      </c>
      <c r="G28" s="23">
        <v>77</v>
      </c>
      <c r="H28" s="23">
        <v>75</v>
      </c>
      <c r="I28" s="23">
        <f>COUNTIF('(2-2) 재직자 명부'!$I:$I,4)</f>
        <v>70</v>
      </c>
      <c r="J28" s="22" t="b">
        <f>COUNTIF('(2-2) 재직자 명부'!I:I,4)=I28</f>
        <v>1</v>
      </c>
      <c r="K28" s="282"/>
      <c r="L28" s="283"/>
      <c r="N28" s="356"/>
    </row>
    <row r="29" spans="1:14" x14ac:dyDescent="0.45">
      <c r="A29" s="9"/>
      <c r="B29" s="367"/>
      <c r="C29" s="307"/>
      <c r="D29" s="290" t="s">
        <v>34</v>
      </c>
      <c r="E29" s="291"/>
      <c r="F29" s="24">
        <f>SUM(F26:F28)</f>
        <v>389</v>
      </c>
      <c r="G29" s="24">
        <f>SUM(G26:G28)</f>
        <v>397</v>
      </c>
      <c r="H29" s="24">
        <f>SUM(H26:H28)</f>
        <v>395</v>
      </c>
      <c r="I29" s="24">
        <f>SUM(I26:I28)</f>
        <v>398</v>
      </c>
      <c r="J29" s="25" t="b">
        <f>COUNTA('(2-2) 재직자 명부'!B2:B59779)=I29</f>
        <v>1</v>
      </c>
      <c r="K29" s="284"/>
      <c r="L29" s="285"/>
      <c r="M29" s="26"/>
      <c r="N29" s="356"/>
    </row>
    <row r="30" spans="1:14" ht="16.5" customHeight="1" x14ac:dyDescent="0.45">
      <c r="A30" s="9"/>
      <c r="B30" s="367"/>
      <c r="C30" s="292" t="s">
        <v>35</v>
      </c>
      <c r="D30" s="295" t="s">
        <v>29</v>
      </c>
      <c r="E30" s="296"/>
      <c r="F30" s="27">
        <v>0</v>
      </c>
      <c r="G30" s="27">
        <v>0</v>
      </c>
      <c r="H30" s="27">
        <v>0</v>
      </c>
      <c r="I30" s="27">
        <f>COUNTIFS('(2-3) 퇴직자 및 DC전환자 명부'!H:H,3,'(2-3) 퇴직자 및 DC전환자 명부'!I:I,1)</f>
        <v>0</v>
      </c>
      <c r="J30" s="19" t="b">
        <f>COUNTIFS('(2-3) 퇴직자 및 DC전환자 명부'!I:I,1,'(2-3) 퇴직자 및 DC전환자 명부'!H:H,3)=I30</f>
        <v>1</v>
      </c>
      <c r="K30" s="280" t="s">
        <v>36</v>
      </c>
      <c r="L30" s="281"/>
      <c r="N30" s="356"/>
    </row>
    <row r="31" spans="1:14" x14ac:dyDescent="0.45">
      <c r="A31" s="9"/>
      <c r="B31" s="367"/>
      <c r="C31" s="293"/>
      <c r="D31" s="286" t="s">
        <v>32</v>
      </c>
      <c r="E31" s="287"/>
      <c r="F31" s="28">
        <v>6</v>
      </c>
      <c r="G31" s="29">
        <v>8</v>
      </c>
      <c r="H31" s="28">
        <v>18</v>
      </c>
      <c r="I31" s="29">
        <f>COUNTIFS('(2-3) 퇴직자 및 DC전환자 명부'!H:H,1,'(2-3) 퇴직자 및 DC전환자 명부'!I:I,1)</f>
        <v>17</v>
      </c>
      <c r="J31" s="22" t="b">
        <f>COUNTIFS('(2-3) 퇴직자 및 DC전환자 명부'!I:I,1,'(2-3) 퇴직자 및 DC전환자 명부'!H:H,1)+COUNTIFS('(2-3) 퇴직자 및 DC전환자 명부'!I:I,1,'(2-3) 퇴직자 및 DC전환자 명부'!H:H,2)=I31</f>
        <v>1</v>
      </c>
      <c r="K31" s="282"/>
      <c r="L31" s="283"/>
      <c r="N31" s="356"/>
    </row>
    <row r="32" spans="1:14" x14ac:dyDescent="0.45">
      <c r="A32" s="9"/>
      <c r="B32" s="367"/>
      <c r="C32" s="293"/>
      <c r="D32" s="288" t="s">
        <v>33</v>
      </c>
      <c r="E32" s="289"/>
      <c r="F32" s="30">
        <v>3</v>
      </c>
      <c r="G32" s="30">
        <v>7</v>
      </c>
      <c r="H32" s="30">
        <v>6</v>
      </c>
      <c r="I32" s="30">
        <f>COUNTIFS('(2-3) 퇴직자 및 DC전환자 명부'!H:H,4,'(2-3) 퇴직자 및 DC전환자 명부'!I:I,1)</f>
        <v>7</v>
      </c>
      <c r="J32" s="22" t="b">
        <f>COUNTIFS('(2-3) 퇴직자 및 DC전환자 명부'!I:I,1,'(2-3) 퇴직자 및 DC전환자 명부'!H:H,4)=I32</f>
        <v>1</v>
      </c>
      <c r="K32" s="282"/>
      <c r="L32" s="283"/>
      <c r="N32" s="356"/>
    </row>
    <row r="33" spans="1:14" x14ac:dyDescent="0.45">
      <c r="A33" s="9"/>
      <c r="B33" s="367"/>
      <c r="C33" s="294"/>
      <c r="D33" s="321" t="s">
        <v>34</v>
      </c>
      <c r="E33" s="360"/>
      <c r="F33" s="31">
        <f>SUM(F30:F32)</f>
        <v>9</v>
      </c>
      <c r="G33" s="31">
        <f>SUM(G30:G32)</f>
        <v>15</v>
      </c>
      <c r="H33" s="31">
        <f>SUM(H30:H32)</f>
        <v>24</v>
      </c>
      <c r="I33" s="31">
        <f>SUM(I30:I32)</f>
        <v>24</v>
      </c>
      <c r="J33" s="25" t="b">
        <f>COUNTIF('(2-3) 퇴직자 및 DC전환자 명부'!I:I,1)=I33</f>
        <v>1</v>
      </c>
      <c r="K33" s="284"/>
      <c r="L33" s="285"/>
      <c r="M33" s="26"/>
      <c r="N33" s="356"/>
    </row>
    <row r="34" spans="1:14" ht="32.15" customHeight="1" x14ac:dyDescent="0.45">
      <c r="A34" s="9"/>
      <c r="B34" s="368"/>
      <c r="C34" s="32" t="s">
        <v>37</v>
      </c>
      <c r="D34" s="33">
        <f>SUM(IFERROR(YEAR('(2-2) 재직자 명부'!J:J)=2019,0)*1)</f>
        <v>0</v>
      </c>
      <c r="E34" s="34">
        <f>SUM((LEFT('(2-2) 재직자 명부'!$J:$J,4)="2019")*1)</f>
        <v>0</v>
      </c>
      <c r="F34" s="23">
        <v>0</v>
      </c>
      <c r="G34" s="23">
        <v>0</v>
      </c>
      <c r="H34" s="23">
        <v>0</v>
      </c>
      <c r="I34" s="23">
        <v>0</v>
      </c>
      <c r="J34" s="22" t="b">
        <f>I34=(E34+D34)</f>
        <v>1</v>
      </c>
      <c r="K34" s="361" t="s">
        <v>38</v>
      </c>
      <c r="L34" s="362"/>
      <c r="N34" s="356"/>
    </row>
    <row r="35" spans="1:14" ht="32.15" customHeight="1" x14ac:dyDescent="0.45">
      <c r="A35" s="9"/>
      <c r="B35" s="369"/>
      <c r="C35" s="363" t="s">
        <v>39</v>
      </c>
      <c r="D35" s="364"/>
      <c r="E35" s="365"/>
      <c r="F35" s="23">
        <v>0</v>
      </c>
      <c r="G35" s="23">
        <v>1</v>
      </c>
      <c r="H35" s="23">
        <v>2</v>
      </c>
      <c r="I35" s="23">
        <f>COUNTIFS('(2-3) 퇴직자 및 DC전환자 명부'!I:I,2)</f>
        <v>1</v>
      </c>
      <c r="J35" s="35" t="b">
        <f>COUNTIF('(2-3) 퇴직자 및 DC전환자 명부'!I:I,2)=I35</f>
        <v>1</v>
      </c>
      <c r="K35" s="361" t="s">
        <v>40</v>
      </c>
      <c r="L35" s="362"/>
      <c r="N35" s="356"/>
    </row>
    <row r="36" spans="1:14" ht="16.5" customHeight="1" x14ac:dyDescent="0.45">
      <c r="A36" s="9"/>
      <c r="B36" s="344" t="s">
        <v>41</v>
      </c>
      <c r="C36" s="307"/>
      <c r="D36" s="286" t="s">
        <v>29</v>
      </c>
      <c r="E36" s="287"/>
      <c r="F36" s="27">
        <v>2435613441</v>
      </c>
      <c r="G36" s="27">
        <v>3010179171</v>
      </c>
      <c r="H36" s="27">
        <v>3261641278</v>
      </c>
      <c r="I36" s="27">
        <f>SUMIF('(2-2) 재직자 명부'!$I:$I,3,'(2-2) 재직자 명부'!$G:$G)</f>
        <v>3202123846</v>
      </c>
      <c r="J36" s="19" t="b">
        <f>ABS(SUMIF('(2-2) 재직자 명부'!I:I,3,'(2-2) 재직자 명부'!G:G)-I36)&lt;1</f>
        <v>1</v>
      </c>
      <c r="K36" s="347" t="s">
        <v>42</v>
      </c>
      <c r="L36" s="348"/>
      <c r="N36" s="356"/>
    </row>
    <row r="37" spans="1:14" x14ac:dyDescent="0.45">
      <c r="A37" s="9"/>
      <c r="B37" s="306"/>
      <c r="C37" s="307"/>
      <c r="D37" s="286" t="s">
        <v>32</v>
      </c>
      <c r="E37" s="287"/>
      <c r="F37" s="28">
        <v>11542829564</v>
      </c>
      <c r="G37" s="28">
        <v>11925538571</v>
      </c>
      <c r="H37" s="28">
        <v>12126543815</v>
      </c>
      <c r="I37" s="29">
        <f>SUMIF('(2-2) 재직자 명부'!$I:$I,1,'(2-2) 재직자 명부'!$G:$G)</f>
        <v>12557562547</v>
      </c>
      <c r="J37" s="22" t="b">
        <f>ABS(SUMIF('(2-2) 재직자 명부'!I:I,1,'(2-2) 재직자 명부'!G:G)+SUMIF('(2-2) 재직자 명부'!I:I,2,'(2-2) 재직자 명부'!G:G)-I37)&lt;1</f>
        <v>1</v>
      </c>
      <c r="K37" s="349"/>
      <c r="L37" s="350"/>
      <c r="M37" s="36"/>
      <c r="N37" s="356"/>
    </row>
    <row r="38" spans="1:14" x14ac:dyDescent="0.45">
      <c r="A38" s="9"/>
      <c r="B38" s="306"/>
      <c r="C38" s="307"/>
      <c r="D38" s="288" t="s">
        <v>33</v>
      </c>
      <c r="E38" s="289"/>
      <c r="F38" s="30">
        <v>390452239</v>
      </c>
      <c r="G38" s="30">
        <v>384338643</v>
      </c>
      <c r="H38" s="30">
        <v>421228414</v>
      </c>
      <c r="I38" s="30">
        <f>SUMIF('(2-2) 재직자 명부'!$I:$I,4,'(2-2) 재직자 명부'!$G:$G)</f>
        <v>354336017</v>
      </c>
      <c r="J38" s="22" t="b">
        <f>ABS(SUMIF('(2-2) 재직자 명부'!I:I,4,'(2-2) 재직자 명부'!G:G)-I38)&lt;1</f>
        <v>1</v>
      </c>
      <c r="K38" s="349"/>
      <c r="L38" s="350"/>
      <c r="M38" s="36"/>
      <c r="N38" s="356"/>
    </row>
    <row r="39" spans="1:14" ht="21" customHeight="1" thickBot="1" x14ac:dyDescent="0.5">
      <c r="A39" s="9"/>
      <c r="B39" s="345"/>
      <c r="C39" s="346"/>
      <c r="D39" s="353" t="s">
        <v>34</v>
      </c>
      <c r="E39" s="354"/>
      <c r="F39" s="37">
        <f>SUM(F36:F38)</f>
        <v>14368895244</v>
      </c>
      <c r="G39" s="37">
        <f>SUM(G36:G38)</f>
        <v>15320056385</v>
      </c>
      <c r="H39" s="37">
        <f>SUM(H36:H38)</f>
        <v>15809413507</v>
      </c>
      <c r="I39" s="37">
        <f>SUM(I36:I38)</f>
        <v>16114022410</v>
      </c>
      <c r="J39" s="38" t="b">
        <f>ABS(SUM('(2-2) 재직자 명부'!G:G)-I39)&lt;1</f>
        <v>1</v>
      </c>
      <c r="K39" s="351"/>
      <c r="L39" s="352"/>
      <c r="M39" s="39"/>
      <c r="N39" s="356"/>
    </row>
    <row r="40" spans="1:14" ht="7.5" customHeight="1" thickBot="1" x14ac:dyDescent="0.5">
      <c r="A40" s="9"/>
      <c r="B40" s="9"/>
      <c r="C40" s="9"/>
      <c r="D40" s="40"/>
      <c r="E40" s="40"/>
      <c r="F40" s="41"/>
      <c r="G40" s="41"/>
      <c r="H40" s="41"/>
      <c r="I40" s="41"/>
      <c r="J40" s="42"/>
      <c r="K40" s="43"/>
      <c r="L40" s="43"/>
      <c r="M40" s="43"/>
      <c r="N40" s="44"/>
    </row>
    <row r="41" spans="1:14" ht="30" customHeight="1" x14ac:dyDescent="0.45">
      <c r="A41" s="9"/>
      <c r="B41" s="384" t="s">
        <v>43</v>
      </c>
      <c r="C41" s="387" t="s">
        <v>44</v>
      </c>
      <c r="D41" s="388" t="s">
        <v>45</v>
      </c>
      <c r="E41" s="389"/>
      <c r="F41" s="45">
        <v>221134697</v>
      </c>
      <c r="G41" s="45">
        <v>173384916</v>
      </c>
      <c r="H41" s="45">
        <v>317036975</v>
      </c>
      <c r="I41" s="45">
        <f>SUMIF('(2-3) 퇴직자 및 DC전환자 명부'!I:I,1,'(2-3) 퇴직자 및 DC전환자 명부'!$G:$G)-I46</f>
        <v>598774099</v>
      </c>
      <c r="J41" s="46" t="b">
        <f>ABS(SUMIF('(2-3) 퇴직자 및 DC전환자 명부'!I:I,1,'(2-3) 퇴직자 및 DC전환자 명부'!G:G)-I41)&lt;1</f>
        <v>0</v>
      </c>
      <c r="K41" s="388" t="s">
        <v>46</v>
      </c>
      <c r="L41" s="390"/>
      <c r="M41" s="47"/>
      <c r="N41" s="335" t="s">
        <v>47</v>
      </c>
    </row>
    <row r="42" spans="1:14" ht="30" customHeight="1" x14ac:dyDescent="0.45">
      <c r="A42" s="9"/>
      <c r="B42" s="385"/>
      <c r="C42" s="380"/>
      <c r="D42" s="337" t="s">
        <v>48</v>
      </c>
      <c r="E42" s="338"/>
      <c r="F42" s="48">
        <v>0</v>
      </c>
      <c r="G42" s="48">
        <v>0</v>
      </c>
      <c r="H42" s="48">
        <v>0</v>
      </c>
      <c r="I42" s="48">
        <f>SUM('(2-2) 재직자 명부'!K:K)</f>
        <v>290723981</v>
      </c>
      <c r="J42" s="49" t="b">
        <f>ABS((K44+L44)-I42)&lt;1</f>
        <v>1</v>
      </c>
      <c r="K42" s="337" t="s">
        <v>49</v>
      </c>
      <c r="L42" s="339"/>
      <c r="M42" s="43"/>
      <c r="N42" s="336"/>
    </row>
    <row r="43" spans="1:14" ht="30" customHeight="1" x14ac:dyDescent="0.45">
      <c r="A43" s="9"/>
      <c r="B43" s="385"/>
      <c r="C43" s="380"/>
      <c r="D43" s="340" t="s">
        <v>50</v>
      </c>
      <c r="E43" s="341"/>
      <c r="F43" s="50">
        <v>0</v>
      </c>
      <c r="G43" s="50">
        <v>14495996</v>
      </c>
      <c r="H43" s="50">
        <v>70635323</v>
      </c>
      <c r="I43" s="50">
        <f>SUMIF('(2-3) 퇴직자 및 DC전환자 명부'!I:I,2,'(2-3) 퇴직자 및 DC전환자 명부'!$G:$G)</f>
        <v>206697360</v>
      </c>
      <c r="J43" s="49" t="b">
        <f>ABS(SUMIF('(2-3) 퇴직자 및 DC전환자 명부'!I:I,2,'(2-3) 퇴직자 및 DC전환자 명부'!G:G)-I43)&lt;1</f>
        <v>1</v>
      </c>
      <c r="K43" s="340" t="s">
        <v>51</v>
      </c>
      <c r="L43" s="342"/>
      <c r="M43" s="51"/>
      <c r="N43" s="336"/>
    </row>
    <row r="44" spans="1:14" ht="19.5" customHeight="1" x14ac:dyDescent="0.45">
      <c r="A44" s="9"/>
      <c r="B44" s="385"/>
      <c r="C44" s="381"/>
      <c r="D44" s="321" t="s">
        <v>52</v>
      </c>
      <c r="E44" s="343"/>
      <c r="F44" s="52">
        <f>SUM(F41:F43)</f>
        <v>221134697</v>
      </c>
      <c r="G44" s="52">
        <f>SUM(G41:G43)</f>
        <v>187880912</v>
      </c>
      <c r="H44" s="52">
        <f>SUM(H41:H43)</f>
        <v>387672298</v>
      </c>
      <c r="I44" s="52">
        <f>SUM(I41:I43)</f>
        <v>1096195440</v>
      </c>
      <c r="J44" s="53" t="b">
        <f>ABS((SUM('(2-3) 퇴직자 및 DC전환자 명부'!G:G)+I42)-I44)&lt;1</f>
        <v>0</v>
      </c>
      <c r="K44" s="54">
        <f>SUMIFS('(2-2) 재직자 명부'!K:K,'(2-2) 재직자 명부'!J:J,"&gt;10000000",'(2-2) 재직자 명부'!J:J,"&gt;"&amp;LEFT(I25,4)&amp;"0000")</f>
        <v>0</v>
      </c>
      <c r="L44" s="55">
        <f>SUMIFS('(2-2) 재직자 명부'!K:K,'(2-2) 재직자 명부'!J:J,"&lt;10000000",'(2-2) 재직자 명부'!J:J,"&gt;="&amp;DATE(LEFT(I25,4),1,1))</f>
        <v>290723981</v>
      </c>
      <c r="M44" s="43"/>
      <c r="N44" s="336"/>
    </row>
    <row r="45" spans="1:14" ht="21.75" customHeight="1" x14ac:dyDescent="0.45">
      <c r="A45" s="9"/>
      <c r="B45" s="385"/>
      <c r="C45" s="292" t="s">
        <v>53</v>
      </c>
      <c r="D45" s="280" t="s">
        <v>54</v>
      </c>
      <c r="E45" s="296"/>
      <c r="F45" s="56">
        <v>0</v>
      </c>
      <c r="G45" s="56">
        <v>0</v>
      </c>
      <c r="H45" s="56">
        <v>0</v>
      </c>
      <c r="I45" s="56">
        <f>SUMIF('(2-4) 추가 명부(장기근속)'!$J:$J,1,'(2-4) 추가 명부(장기근속)'!$G:$G)</f>
        <v>0</v>
      </c>
      <c r="J45" s="57" t="b">
        <f>ABS(SUMIF('(2-4) 추가 명부(장기근속)'!J:J,1,'(2-4) 추가 명부(장기근속)'!G:G)-I45)&lt;1</f>
        <v>1</v>
      </c>
      <c r="K45" s="280" t="s">
        <v>55</v>
      </c>
      <c r="L45" s="281"/>
      <c r="M45" s="43"/>
      <c r="N45" s="336"/>
    </row>
    <row r="46" spans="1:14" ht="22.5" customHeight="1" x14ac:dyDescent="0.45">
      <c r="A46" s="9"/>
      <c r="B46" s="385"/>
      <c r="C46" s="380"/>
      <c r="D46" s="340" t="s">
        <v>56</v>
      </c>
      <c r="E46" s="341"/>
      <c r="F46" s="58">
        <v>0</v>
      </c>
      <c r="G46" s="58">
        <v>0</v>
      </c>
      <c r="H46" s="58">
        <v>0</v>
      </c>
      <c r="I46" s="58">
        <v>8737780</v>
      </c>
      <c r="J46" s="59" t="b">
        <f>ABS(SUMIF('(2-4) 추가 명부(장기근속)'!J:J,2,'(2-4) 추가 명부(장기근속)'!G:G)-I46)&lt;1</f>
        <v>0</v>
      </c>
      <c r="K46" s="284"/>
      <c r="L46" s="285"/>
      <c r="M46" s="43"/>
      <c r="N46" s="336"/>
    </row>
    <row r="47" spans="1:14" ht="19.5" customHeight="1" x14ac:dyDescent="0.45">
      <c r="A47" s="9"/>
      <c r="B47" s="385"/>
      <c r="C47" s="381"/>
      <c r="D47" s="321" t="s">
        <v>57</v>
      </c>
      <c r="E47" s="343"/>
      <c r="F47" s="52">
        <f>F45-F46</f>
        <v>0</v>
      </c>
      <c r="G47" s="52">
        <f>G45-G46</f>
        <v>0</v>
      </c>
      <c r="H47" s="52">
        <f>H45-H46</f>
        <v>0</v>
      </c>
      <c r="I47" s="52">
        <f>I45-I46</f>
        <v>-8737780</v>
      </c>
      <c r="J47" s="53" t="b">
        <f>ABS((SUMIF('(2-4) 추가 명부(장기근속)'!J:J,1,'(2-4) 추가 명부(장기근속)'!G:G)-SUMIF('(2-4) 추가 명부(장기근속)'!J:J,2,'(2-4) 추가 명부(장기근속)'!G:G))-I47)&lt;1</f>
        <v>0</v>
      </c>
      <c r="K47" s="60"/>
      <c r="L47" s="61"/>
      <c r="M47" s="43"/>
      <c r="N47" s="336"/>
    </row>
    <row r="48" spans="1:14" ht="24" customHeight="1" x14ac:dyDescent="0.45">
      <c r="A48" s="9"/>
      <c r="B48" s="385"/>
      <c r="C48" s="292" t="s">
        <v>58</v>
      </c>
      <c r="D48" s="280" t="s">
        <v>59</v>
      </c>
      <c r="E48" s="382"/>
      <c r="F48" s="62">
        <v>0</v>
      </c>
      <c r="G48" s="62">
        <v>0</v>
      </c>
      <c r="H48" s="62">
        <v>0</v>
      </c>
      <c r="I48" s="62">
        <f>+SUMIF('(2-4) 추가 명부(장기근속)'!$J:$J,3,'(2-4) 추가 명부(장기근속)'!$G:$G)</f>
        <v>0</v>
      </c>
      <c r="J48" s="57" t="b">
        <f>ABS(SUMIF('(2-4) 추가 명부(장기근속)'!J:J,3,'(2-4) 추가 명부(장기근속)'!G:G)-I48)&lt;1</f>
        <v>1</v>
      </c>
      <c r="K48" s="280" t="s">
        <v>60</v>
      </c>
      <c r="L48" s="281"/>
      <c r="M48" s="43"/>
      <c r="N48" s="336"/>
    </row>
    <row r="49" spans="1:14" ht="21.75" customHeight="1" x14ac:dyDescent="0.45">
      <c r="A49" s="9"/>
      <c r="B49" s="385"/>
      <c r="C49" s="380"/>
      <c r="D49" s="340" t="s">
        <v>61</v>
      </c>
      <c r="E49" s="383"/>
      <c r="F49" s="63">
        <v>0</v>
      </c>
      <c r="G49" s="63">
        <v>0</v>
      </c>
      <c r="H49" s="63">
        <v>0</v>
      </c>
      <c r="I49" s="63">
        <f>+SUMIF('(2-4) 추가 명부(장기근속)'!$J:$J,4,'(2-4) 추가 명부(장기근속)'!$G:$G)</f>
        <v>0</v>
      </c>
      <c r="J49" s="59" t="b">
        <f>ABS(SUMIF('(2-4) 추가 명부(장기근속)'!J:J,4,'(2-4) 추가 명부(장기근속)'!G:G)-I49)&lt;1</f>
        <v>1</v>
      </c>
      <c r="K49" s="284"/>
      <c r="L49" s="285"/>
      <c r="M49" s="43"/>
      <c r="N49" s="336"/>
    </row>
    <row r="50" spans="1:14" ht="21" customHeight="1" x14ac:dyDescent="0.45">
      <c r="A50" s="9"/>
      <c r="B50" s="386"/>
      <c r="C50" s="381"/>
      <c r="D50" s="321" t="s">
        <v>62</v>
      </c>
      <c r="E50" s="343"/>
      <c r="F50" s="52">
        <f>F48-F49</f>
        <v>0</v>
      </c>
      <c r="G50" s="52">
        <f>G48-G49</f>
        <v>0</v>
      </c>
      <c r="H50" s="52">
        <f>H48-H49</f>
        <v>0</v>
      </c>
      <c r="I50" s="52">
        <f>I48-I49</f>
        <v>0</v>
      </c>
      <c r="J50" s="59" t="b">
        <f>ABS((SUMIF('(2-4) 추가 명부(장기근속)'!J:J,3,'(2-4) 추가 명부(장기근속)'!G:G)-SUMIF('(2-4) 추가 명부(장기근속)'!J:J,4,'(2-4) 추가 명부(장기근속)'!G:G))-I50)&lt;1</f>
        <v>1</v>
      </c>
      <c r="K50" s="64"/>
      <c r="L50" s="65"/>
      <c r="M50" s="43"/>
      <c r="N50" s="336"/>
    </row>
    <row r="51" spans="1:14" ht="21" customHeight="1" thickBot="1" x14ac:dyDescent="0.5">
      <c r="A51" s="9"/>
      <c r="B51" s="357" t="s">
        <v>63</v>
      </c>
      <c r="C51" s="358"/>
      <c r="D51" s="358"/>
      <c r="E51" s="359"/>
      <c r="F51" s="66">
        <f>F44-F47-F50</f>
        <v>221134697</v>
      </c>
      <c r="G51" s="66">
        <f>G44-G47-G50</f>
        <v>187880912</v>
      </c>
      <c r="H51" s="66">
        <f>H44-H47-H50</f>
        <v>387672298</v>
      </c>
      <c r="I51" s="66">
        <f>I44-I47-I50</f>
        <v>1104933220</v>
      </c>
      <c r="J51" s="67" t="b">
        <f>ABS((SUM('(2-3) 퇴직자 및 DC전환자 명부'!G:G)+K44)-(SUMIF('(2-4) 추가 명부(장기근속)'!J:J,1,'(2-4) 추가 명부(장기근속)'!G:G)-SUMIF('(2-4) 추가 명부(장기근속)'!J:J,2,'(2-4) 추가 명부(장기근속)'!G:G))-(SUMIF('(2-4) 추가 명부(장기근속)'!J:J,3,'(2-4) 추가 명부(장기근속)'!G:G)-SUMIF('(2-4) 추가 명부(장기근속)'!J:J,4,'(2-4) 추가 명부(장기근속)'!G:G))-I51)&lt;1</f>
        <v>0</v>
      </c>
      <c r="K51" s="67"/>
      <c r="L51" s="68"/>
      <c r="M51" s="43"/>
      <c r="N51" s="336"/>
    </row>
    <row r="52" spans="1:14" ht="6" customHeight="1" x14ac:dyDescent="0.45">
      <c r="A52" s="9"/>
      <c r="B52" s="9"/>
      <c r="C52" s="9"/>
      <c r="D52" s="40"/>
      <c r="E52" s="40"/>
      <c r="F52" s="41"/>
      <c r="G52" s="41"/>
      <c r="H52" s="41"/>
      <c r="I52" s="41"/>
      <c r="J52" s="69"/>
      <c r="K52" s="69"/>
      <c r="L52" s="69"/>
      <c r="M52" s="69"/>
    </row>
    <row r="53" spans="1:14" x14ac:dyDescent="0.45">
      <c r="B53" s="9" t="s">
        <v>64</v>
      </c>
    </row>
    <row r="54" spans="1:14" x14ac:dyDescent="0.45">
      <c r="A54" s="9"/>
      <c r="B54" s="9"/>
      <c r="C54" s="9"/>
      <c r="D54" s="40"/>
      <c r="E54" s="40"/>
      <c r="F54" s="41"/>
      <c r="G54" s="41"/>
      <c r="H54" s="41"/>
      <c r="I54" s="41"/>
      <c r="J54" s="69"/>
      <c r="K54" s="69"/>
      <c r="L54" s="69"/>
      <c r="M54" s="69"/>
    </row>
    <row r="55" spans="1:14" ht="17.25" customHeight="1" x14ac:dyDescent="0.45">
      <c r="B55" s="8" t="s">
        <v>65</v>
      </c>
      <c r="C55" s="9"/>
    </row>
    <row r="56" spans="1:14" ht="9" customHeight="1" x14ac:dyDescent="0.45">
      <c r="B56" s="8"/>
      <c r="C56" s="9"/>
    </row>
    <row r="57" spans="1:14" ht="16.5" customHeight="1" x14ac:dyDescent="0.45">
      <c r="A57" s="8"/>
      <c r="B57" s="9" t="s">
        <v>66</v>
      </c>
      <c r="C57" s="9"/>
    </row>
    <row r="58" spans="1:14" ht="17.5" hidden="1" x14ac:dyDescent="0.45">
      <c r="A58" s="8"/>
      <c r="B58" s="9" t="s">
        <v>67</v>
      </c>
      <c r="C58" s="9"/>
    </row>
    <row r="59" spans="1:14" ht="16.5" customHeight="1" x14ac:dyDescent="0.45">
      <c r="A59" s="8"/>
      <c r="B59" s="12" t="s">
        <v>68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1:14" ht="12" customHeight="1" thickBot="1" x14ac:dyDescent="0.5">
      <c r="A60" s="8"/>
      <c r="B60" s="14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 spans="1:14" ht="17.5" x14ac:dyDescent="0.45">
      <c r="A61" s="8"/>
      <c r="B61" s="310" t="s">
        <v>69</v>
      </c>
      <c r="C61" s="311"/>
      <c r="D61" s="371" t="s">
        <v>70</v>
      </c>
      <c r="E61" s="372"/>
      <c r="F61" s="372"/>
      <c r="G61" s="372"/>
      <c r="H61" s="372"/>
      <c r="I61" s="372"/>
      <c r="J61" s="373" t="s">
        <v>20</v>
      </c>
      <c r="K61" s="373"/>
      <c r="L61" s="374"/>
      <c r="M61" s="15"/>
    </row>
    <row r="62" spans="1:14" ht="17.25" customHeight="1" x14ac:dyDescent="0.45">
      <c r="A62" s="8"/>
      <c r="B62" s="312"/>
      <c r="C62" s="313"/>
      <c r="D62" s="375" t="s">
        <v>71</v>
      </c>
      <c r="E62" s="376"/>
      <c r="F62" s="70" t="s">
        <v>22</v>
      </c>
      <c r="G62" s="70" t="s">
        <v>72</v>
      </c>
      <c r="H62" s="70" t="s">
        <v>24</v>
      </c>
      <c r="I62" s="70" t="str">
        <f>I25</f>
        <v>2022.12.31</v>
      </c>
      <c r="J62" s="377" t="s">
        <v>73</v>
      </c>
      <c r="K62" s="378"/>
      <c r="L62" s="379"/>
      <c r="M62" s="71"/>
    </row>
    <row r="63" spans="1:14" ht="21.9" customHeight="1" x14ac:dyDescent="0.45">
      <c r="A63" s="8"/>
      <c r="B63" s="366" t="s">
        <v>74</v>
      </c>
      <c r="C63" s="72" t="s">
        <v>75</v>
      </c>
      <c r="D63" s="454"/>
      <c r="E63" s="455"/>
      <c r="F63" s="73">
        <v>16980203474</v>
      </c>
      <c r="G63" s="73">
        <v>16811163206</v>
      </c>
      <c r="H63" s="73">
        <v>16708977610</v>
      </c>
      <c r="I63" s="73">
        <f>H82</f>
        <v>16409616766</v>
      </c>
      <c r="J63" s="74" t="str">
        <f>LEFT(I62,4)&amp;"년 기초 잔액"</f>
        <v>2022년 기초 잔액</v>
      </c>
      <c r="K63" s="75"/>
      <c r="L63" s="76"/>
      <c r="M63" s="71"/>
    </row>
    <row r="64" spans="1:14" ht="21.9" customHeight="1" x14ac:dyDescent="0.45">
      <c r="A64" s="9"/>
      <c r="B64" s="385"/>
      <c r="C64" s="77" t="s">
        <v>76</v>
      </c>
      <c r="D64" s="456"/>
      <c r="E64" s="455"/>
      <c r="F64" s="78">
        <v>0</v>
      </c>
      <c r="G64" s="78">
        <v>0</v>
      </c>
      <c r="H64" s="78">
        <v>0</v>
      </c>
      <c r="I64" s="78">
        <v>5300000000</v>
      </c>
      <c r="J64" s="457" t="s">
        <v>77</v>
      </c>
      <c r="K64" s="458"/>
      <c r="L64" s="459"/>
      <c r="M64" s="43"/>
    </row>
    <row r="65" spans="1:17" ht="21.9" customHeight="1" x14ac:dyDescent="0.45">
      <c r="A65" s="9"/>
      <c r="B65" s="385"/>
      <c r="C65" s="292" t="s">
        <v>78</v>
      </c>
      <c r="D65" s="462" t="s">
        <v>79</v>
      </c>
      <c r="E65" s="463"/>
      <c r="F65" s="79">
        <v>221134697</v>
      </c>
      <c r="G65" s="79">
        <v>173384916</v>
      </c>
      <c r="H65" s="79">
        <v>314084305</v>
      </c>
      <c r="I65" s="79">
        <f>165385618+9525000+31354996+13839118+41042243+5586770+24414417+5093062+8575080+14434627+10063230+31625538</f>
        <v>360939699</v>
      </c>
      <c r="J65" s="396" t="s">
        <v>80</v>
      </c>
      <c r="K65" s="397"/>
      <c r="L65" s="398"/>
      <c r="M65" s="43"/>
    </row>
    <row r="66" spans="1:17" ht="21.9" customHeight="1" x14ac:dyDescent="0.45">
      <c r="A66" s="9"/>
      <c r="B66" s="385"/>
      <c r="C66" s="460"/>
      <c r="D66" s="464" t="s">
        <v>81</v>
      </c>
      <c r="E66" s="465"/>
      <c r="F66" s="80">
        <v>0</v>
      </c>
      <c r="G66" s="81">
        <v>0</v>
      </c>
      <c r="H66" s="80">
        <v>0</v>
      </c>
      <c r="I66" s="80">
        <v>290723981</v>
      </c>
      <c r="J66" s="407"/>
      <c r="K66" s="408"/>
      <c r="L66" s="409"/>
      <c r="M66" s="43"/>
    </row>
    <row r="67" spans="1:17" ht="21.9" customHeight="1" x14ac:dyDescent="0.45">
      <c r="A67" s="9"/>
      <c r="B67" s="385"/>
      <c r="C67" s="460"/>
      <c r="D67" s="466" t="s">
        <v>82</v>
      </c>
      <c r="E67" s="467"/>
      <c r="F67" s="82">
        <v>0</v>
      </c>
      <c r="G67" s="83">
        <v>14495996</v>
      </c>
      <c r="H67" s="83">
        <v>70635323</v>
      </c>
      <c r="I67" s="83">
        <f>I43</f>
        <v>206697360</v>
      </c>
      <c r="J67" s="399"/>
      <c r="K67" s="400"/>
      <c r="L67" s="401"/>
      <c r="M67" s="43"/>
    </row>
    <row r="68" spans="1:17" ht="21.9" customHeight="1" x14ac:dyDescent="0.45">
      <c r="A68" s="9"/>
      <c r="B68" s="385"/>
      <c r="C68" s="461"/>
      <c r="D68" s="468" t="s">
        <v>83</v>
      </c>
      <c r="E68" s="467"/>
      <c r="F68" s="84">
        <f>SUM(F65:F67)</f>
        <v>221134697</v>
      </c>
      <c r="G68" s="84">
        <f>SUM(G65:G67)</f>
        <v>187880912</v>
      </c>
      <c r="H68" s="84">
        <f>SUM(H65:H67)</f>
        <v>384719628</v>
      </c>
      <c r="I68" s="84">
        <f>SUM(I65:I67)</f>
        <v>858361040</v>
      </c>
      <c r="J68" s="64"/>
      <c r="K68" s="85"/>
      <c r="L68" s="65"/>
      <c r="M68" s="86"/>
    </row>
    <row r="69" spans="1:17" ht="21.9" customHeight="1" x14ac:dyDescent="0.45">
      <c r="A69" s="9"/>
      <c r="B69" s="385"/>
      <c r="C69" s="391" t="s">
        <v>84</v>
      </c>
      <c r="D69" s="394" t="s">
        <v>85</v>
      </c>
      <c r="E69" s="395"/>
      <c r="F69" s="87">
        <v>0</v>
      </c>
      <c r="G69" s="87">
        <v>0</v>
      </c>
      <c r="H69" s="87">
        <v>0</v>
      </c>
      <c r="I69" s="87">
        <v>0</v>
      </c>
      <c r="J69" s="396" t="s">
        <v>86</v>
      </c>
      <c r="K69" s="397"/>
      <c r="L69" s="398"/>
      <c r="M69" s="43"/>
    </row>
    <row r="70" spans="1:17" ht="21.9" customHeight="1" x14ac:dyDescent="0.45">
      <c r="A70" s="9"/>
      <c r="B70" s="385"/>
      <c r="C70" s="392"/>
      <c r="D70" s="282" t="s">
        <v>87</v>
      </c>
      <c r="E70" s="287"/>
      <c r="F70" s="88">
        <v>0</v>
      </c>
      <c r="G70" s="88">
        <v>0</v>
      </c>
      <c r="H70" s="88">
        <v>0</v>
      </c>
      <c r="I70" s="88">
        <v>0</v>
      </c>
      <c r="J70" s="399"/>
      <c r="K70" s="400"/>
      <c r="L70" s="401"/>
      <c r="M70" s="43"/>
    </row>
    <row r="71" spans="1:17" ht="21.9" customHeight="1" x14ac:dyDescent="0.45">
      <c r="A71" s="9"/>
      <c r="B71" s="385"/>
      <c r="C71" s="393"/>
      <c r="D71" s="402" t="s">
        <v>88</v>
      </c>
      <c r="E71" s="343"/>
      <c r="F71" s="89">
        <f>F69-F70</f>
        <v>0</v>
      </c>
      <c r="G71" s="89">
        <f>G69-G70</f>
        <v>0</v>
      </c>
      <c r="H71" s="89">
        <f>H69-H70</f>
        <v>0</v>
      </c>
      <c r="I71" s="89">
        <f>I69-I70</f>
        <v>0</v>
      </c>
      <c r="J71" s="64"/>
      <c r="K71" s="85"/>
      <c r="L71" s="65"/>
      <c r="M71" s="86"/>
    </row>
    <row r="72" spans="1:17" ht="21.9" customHeight="1" x14ac:dyDescent="0.45">
      <c r="A72" s="9"/>
      <c r="B72" s="385"/>
      <c r="C72" s="292" t="s">
        <v>89</v>
      </c>
      <c r="D72" s="394" t="s">
        <v>90</v>
      </c>
      <c r="E72" s="405"/>
      <c r="F72" s="90">
        <v>0</v>
      </c>
      <c r="G72" s="90">
        <v>0</v>
      </c>
      <c r="H72" s="90">
        <v>0</v>
      </c>
      <c r="I72" s="90">
        <v>0</v>
      </c>
      <c r="J72" s="396" t="s">
        <v>91</v>
      </c>
      <c r="K72" s="397"/>
      <c r="L72" s="398"/>
      <c r="M72" s="43"/>
    </row>
    <row r="73" spans="1:17" ht="21.9" customHeight="1" x14ac:dyDescent="0.45">
      <c r="A73" s="9"/>
      <c r="B73" s="385"/>
      <c r="C73" s="403"/>
      <c r="D73" s="282" t="s">
        <v>92</v>
      </c>
      <c r="E73" s="406"/>
      <c r="F73" s="91">
        <v>0</v>
      </c>
      <c r="G73" s="91">
        <v>0</v>
      </c>
      <c r="H73" s="91">
        <v>0</v>
      </c>
      <c r="I73" s="91">
        <v>0</v>
      </c>
      <c r="J73" s="399"/>
      <c r="K73" s="400"/>
      <c r="L73" s="401"/>
      <c r="M73" s="43"/>
      <c r="Q73" s="92" t="s">
        <v>93</v>
      </c>
    </row>
    <row r="74" spans="1:17" ht="21.9" customHeight="1" x14ac:dyDescent="0.45">
      <c r="A74" s="9"/>
      <c r="B74" s="385"/>
      <c r="C74" s="404"/>
      <c r="D74" s="402" t="s">
        <v>94</v>
      </c>
      <c r="E74" s="343"/>
      <c r="F74" s="89">
        <f>F72-F73</f>
        <v>0</v>
      </c>
      <c r="G74" s="89">
        <f>G72-G73</f>
        <v>0</v>
      </c>
      <c r="H74" s="89">
        <f>H72-H73</f>
        <v>0</v>
      </c>
      <c r="I74" s="89">
        <f>I72-I73</f>
        <v>0</v>
      </c>
      <c r="J74" s="64"/>
      <c r="K74" s="85"/>
      <c r="L74" s="65"/>
      <c r="M74" s="86"/>
    </row>
    <row r="75" spans="1:17" ht="21.9" customHeight="1" x14ac:dyDescent="0.45">
      <c r="A75" s="9"/>
      <c r="B75" s="385"/>
      <c r="C75" s="391" t="s">
        <v>95</v>
      </c>
      <c r="D75" s="414" t="s">
        <v>96</v>
      </c>
      <c r="E75" s="415"/>
      <c r="F75" s="93">
        <v>82504521</v>
      </c>
      <c r="G75" s="93">
        <v>85695316</v>
      </c>
      <c r="H75" s="93">
        <v>85358784</v>
      </c>
      <c r="I75" s="94">
        <f>28338352+7664701+I76</f>
        <v>58272186</v>
      </c>
      <c r="J75" s="396" t="s">
        <v>97</v>
      </c>
      <c r="K75" s="397"/>
      <c r="L75" s="398"/>
      <c r="M75" s="43"/>
    </row>
    <row r="76" spans="1:17" ht="21.9" customHeight="1" x14ac:dyDescent="0.45">
      <c r="A76" s="9"/>
      <c r="B76" s="385"/>
      <c r="C76" s="392"/>
      <c r="D76" s="416" t="s">
        <v>98</v>
      </c>
      <c r="E76" s="417"/>
      <c r="F76" s="88">
        <v>30410092</v>
      </c>
      <c r="G76" s="88">
        <v>0</v>
      </c>
      <c r="H76" s="88">
        <v>0</v>
      </c>
      <c r="I76" s="88">
        <f>11518517+10750616</f>
        <v>22269133</v>
      </c>
      <c r="J76" s="407"/>
      <c r="K76" s="408"/>
      <c r="L76" s="409"/>
      <c r="M76" s="43"/>
    </row>
    <row r="77" spans="1:17" ht="21.9" customHeight="1" x14ac:dyDescent="0.45">
      <c r="A77" s="9"/>
      <c r="B77" s="385"/>
      <c r="C77" s="393"/>
      <c r="D77" s="418" t="s">
        <v>99</v>
      </c>
      <c r="E77" s="419"/>
      <c r="F77" s="84">
        <f>F75-F76</f>
        <v>52094429</v>
      </c>
      <c r="G77" s="84">
        <f>G75-G76</f>
        <v>85695316</v>
      </c>
      <c r="H77" s="84">
        <f>H75-H76</f>
        <v>85358784</v>
      </c>
      <c r="I77" s="84">
        <f>I75-I76</f>
        <v>36003053</v>
      </c>
      <c r="J77" s="399"/>
      <c r="K77" s="400"/>
      <c r="L77" s="401"/>
      <c r="M77" s="43"/>
    </row>
    <row r="78" spans="1:17" ht="21.9" customHeight="1" x14ac:dyDescent="0.45">
      <c r="A78" s="9"/>
      <c r="B78" s="385"/>
      <c r="C78" s="95" t="s">
        <v>100</v>
      </c>
      <c r="D78" s="418" t="s">
        <v>101</v>
      </c>
      <c r="E78" s="419"/>
      <c r="F78" s="84">
        <f>F63+F64-F68+F71+F74+F77</f>
        <v>16811163206</v>
      </c>
      <c r="G78" s="84">
        <f>G63+G64-G68+G71+G74+G77</f>
        <v>16708977610</v>
      </c>
      <c r="H78" s="84">
        <f>H63+H64-H68+H71+H74+H77</f>
        <v>16409616766</v>
      </c>
      <c r="I78" s="84">
        <f>I63+I64-I68+I71+I74+I77</f>
        <v>20887258779</v>
      </c>
      <c r="J78" s="96"/>
      <c r="K78" s="97"/>
      <c r="L78" s="98"/>
      <c r="M78" s="43"/>
    </row>
    <row r="79" spans="1:17" ht="21.9" customHeight="1" x14ac:dyDescent="0.45">
      <c r="A79" s="9"/>
      <c r="B79" s="385"/>
      <c r="C79" s="391" t="s">
        <v>102</v>
      </c>
      <c r="D79" s="286" t="s">
        <v>103</v>
      </c>
      <c r="E79" s="287"/>
      <c r="F79" s="91">
        <v>16811163206</v>
      </c>
      <c r="G79" s="91">
        <v>16708977610</v>
      </c>
      <c r="H79" s="91">
        <v>16409616766</v>
      </c>
      <c r="I79" s="99"/>
      <c r="J79" s="396" t="s">
        <v>104</v>
      </c>
      <c r="K79" s="397"/>
      <c r="L79" s="398"/>
      <c r="M79" s="43"/>
    </row>
    <row r="80" spans="1:17" ht="21.9" customHeight="1" x14ac:dyDescent="0.45">
      <c r="A80" s="9"/>
      <c r="B80" s="385"/>
      <c r="C80" s="392"/>
      <c r="D80" s="410" t="s">
        <v>105</v>
      </c>
      <c r="E80" s="338"/>
      <c r="F80" s="81">
        <v>0</v>
      </c>
      <c r="G80" s="81">
        <v>0</v>
      </c>
      <c r="H80" s="81">
        <v>0</v>
      </c>
      <c r="I80" s="80">
        <v>0</v>
      </c>
      <c r="J80" s="407"/>
      <c r="K80" s="408"/>
      <c r="L80" s="409"/>
      <c r="M80" s="43"/>
    </row>
    <row r="81" spans="1:13" ht="21.9" customHeight="1" x14ac:dyDescent="0.45">
      <c r="A81" s="9"/>
      <c r="B81" s="385"/>
      <c r="C81" s="392"/>
      <c r="D81" s="288" t="s">
        <v>106</v>
      </c>
      <c r="E81" s="289"/>
      <c r="F81" s="83">
        <v>0</v>
      </c>
      <c r="G81" s="83">
        <v>0</v>
      </c>
      <c r="H81" s="83">
        <v>0</v>
      </c>
      <c r="I81" s="83">
        <v>0</v>
      </c>
      <c r="J81" s="399"/>
      <c r="K81" s="400"/>
      <c r="L81" s="401"/>
      <c r="M81" s="43"/>
    </row>
    <row r="82" spans="1:13" ht="21.9" customHeight="1" x14ac:dyDescent="0.45">
      <c r="A82" s="9"/>
      <c r="B82" s="385"/>
      <c r="C82" s="393"/>
      <c r="D82" s="290" t="s">
        <v>107</v>
      </c>
      <c r="E82" s="291"/>
      <c r="F82" s="89">
        <f>SUM(F79:F81)</f>
        <v>16811163206</v>
      </c>
      <c r="G82" s="89">
        <f>SUM(G79:G81)</f>
        <v>16708977610</v>
      </c>
      <c r="H82" s="89">
        <f t="shared" ref="H82" si="0">SUM(H79:H81)</f>
        <v>16409616766</v>
      </c>
      <c r="I82" s="89">
        <f>SUM(I79:I81)</f>
        <v>0</v>
      </c>
      <c r="J82" s="411"/>
      <c r="K82" s="412"/>
      <c r="L82" s="413"/>
      <c r="M82" s="9"/>
    </row>
    <row r="83" spans="1:13" ht="21.9" customHeight="1" x14ac:dyDescent="0.45">
      <c r="A83" s="9"/>
      <c r="B83" s="386"/>
      <c r="C83" s="100" t="s">
        <v>108</v>
      </c>
      <c r="D83" s="438" t="s">
        <v>109</v>
      </c>
      <c r="E83" s="439"/>
      <c r="F83" s="101">
        <f>F78-F82</f>
        <v>0</v>
      </c>
      <c r="G83" s="101">
        <f>G78-G82</f>
        <v>0</v>
      </c>
      <c r="H83" s="101">
        <f>H78-H82</f>
        <v>0</v>
      </c>
      <c r="I83" s="102">
        <f>I78-I82</f>
        <v>20887258779</v>
      </c>
      <c r="J83" s="440" t="s">
        <v>110</v>
      </c>
      <c r="K83" s="441"/>
      <c r="L83" s="442"/>
      <c r="M83" s="103"/>
    </row>
    <row r="84" spans="1:13" ht="21.9" customHeight="1" x14ac:dyDescent="0.45">
      <c r="A84" s="9"/>
      <c r="B84" s="443" t="s">
        <v>111</v>
      </c>
      <c r="C84" s="444"/>
      <c r="D84" s="447" t="s">
        <v>112</v>
      </c>
      <c r="E84" s="448"/>
      <c r="F84" s="93">
        <v>0</v>
      </c>
      <c r="G84" s="93">
        <v>0</v>
      </c>
      <c r="H84" s="93">
        <v>0</v>
      </c>
      <c r="I84" s="87">
        <v>0</v>
      </c>
      <c r="J84" s="104" t="s">
        <v>113</v>
      </c>
      <c r="K84" s="71"/>
      <c r="L84" s="105"/>
      <c r="M84" s="71"/>
    </row>
    <row r="85" spans="1:13" ht="21.9" customHeight="1" thickBot="1" x14ac:dyDescent="0.5">
      <c r="A85" s="9"/>
      <c r="B85" s="445"/>
      <c r="C85" s="446"/>
      <c r="D85" s="449" t="s">
        <v>114</v>
      </c>
      <c r="E85" s="450"/>
      <c r="F85" s="106" t="s">
        <v>115</v>
      </c>
      <c r="G85" s="106" t="s">
        <v>115</v>
      </c>
      <c r="H85" s="106" t="s">
        <v>115</v>
      </c>
      <c r="I85" s="106" t="s">
        <v>116</v>
      </c>
      <c r="J85" s="451" t="s">
        <v>117</v>
      </c>
      <c r="K85" s="452"/>
      <c r="L85" s="453"/>
      <c r="M85" s="71"/>
    </row>
    <row r="86" spans="1:13" ht="7.5" hidden="1" customHeight="1" x14ac:dyDescent="0.45">
      <c r="A86" s="9"/>
    </row>
    <row r="87" spans="1:13" hidden="1" x14ac:dyDescent="0.45">
      <c r="A87" s="9"/>
      <c r="B87" s="420" t="s">
        <v>118</v>
      </c>
      <c r="C87" s="421"/>
      <c r="D87" s="427" t="s">
        <v>119</v>
      </c>
      <c r="E87" s="428"/>
      <c r="F87" s="107">
        <v>0</v>
      </c>
      <c r="G87" s="107">
        <v>0</v>
      </c>
      <c r="H87" s="107">
        <v>0</v>
      </c>
      <c r="I87" s="107">
        <v>0</v>
      </c>
      <c r="J87" s="429" t="s">
        <v>120</v>
      </c>
      <c r="K87" s="430"/>
      <c r="L87" s="431"/>
      <c r="M87" s="71"/>
    </row>
    <row r="88" spans="1:13" hidden="1" x14ac:dyDescent="0.45">
      <c r="A88" s="9"/>
      <c r="B88" s="422"/>
      <c r="C88" s="423"/>
      <c r="D88" s="375" t="s">
        <v>121</v>
      </c>
      <c r="E88" s="376"/>
      <c r="F88" s="108">
        <v>0</v>
      </c>
      <c r="G88" s="108">
        <v>0</v>
      </c>
      <c r="H88" s="108">
        <v>0</v>
      </c>
      <c r="I88" s="108">
        <v>0</v>
      </c>
      <c r="J88" s="407"/>
      <c r="K88" s="432"/>
      <c r="L88" s="433"/>
      <c r="M88" s="71"/>
    </row>
    <row r="89" spans="1:13" hidden="1" x14ac:dyDescent="0.45">
      <c r="A89" s="9"/>
      <c r="B89" s="424"/>
      <c r="C89" s="423"/>
      <c r="D89" s="375" t="s">
        <v>122</v>
      </c>
      <c r="E89" s="376"/>
      <c r="F89" s="109">
        <v>0</v>
      </c>
      <c r="G89" s="109">
        <v>0</v>
      </c>
      <c r="H89" s="109">
        <v>0</v>
      </c>
      <c r="I89" s="109">
        <v>0</v>
      </c>
      <c r="J89" s="434"/>
      <c r="K89" s="432"/>
      <c r="L89" s="433"/>
      <c r="M89" s="71"/>
    </row>
    <row r="90" spans="1:13" hidden="1" x14ac:dyDescent="0.45">
      <c r="A90" s="9"/>
      <c r="B90" s="424"/>
      <c r="C90" s="423"/>
      <c r="D90" s="375" t="s">
        <v>123</v>
      </c>
      <c r="E90" s="376"/>
      <c r="F90" s="109">
        <v>0</v>
      </c>
      <c r="G90" s="109">
        <v>0</v>
      </c>
      <c r="H90" s="109">
        <v>0</v>
      </c>
      <c r="I90" s="109">
        <v>0</v>
      </c>
      <c r="J90" s="434"/>
      <c r="K90" s="432"/>
      <c r="L90" s="433"/>
      <c r="M90" s="71"/>
    </row>
    <row r="91" spans="1:13" hidden="1" x14ac:dyDescent="0.45">
      <c r="A91" s="9"/>
      <c r="B91" s="424"/>
      <c r="C91" s="423"/>
      <c r="D91" s="375" t="s">
        <v>124</v>
      </c>
      <c r="E91" s="376"/>
      <c r="F91" s="109">
        <v>0</v>
      </c>
      <c r="G91" s="109">
        <v>0</v>
      </c>
      <c r="H91" s="109">
        <v>0</v>
      </c>
      <c r="I91" s="109">
        <v>0</v>
      </c>
      <c r="J91" s="434"/>
      <c r="K91" s="432"/>
      <c r="L91" s="433"/>
      <c r="M91" s="71"/>
    </row>
    <row r="92" spans="1:13" hidden="1" x14ac:dyDescent="0.45">
      <c r="A92" s="9"/>
      <c r="B92" s="425"/>
      <c r="C92" s="426"/>
      <c r="D92" s="319" t="s">
        <v>34</v>
      </c>
      <c r="E92" s="320"/>
      <c r="F92" s="84">
        <f>SUM(F87:F91)</f>
        <v>0</v>
      </c>
      <c r="G92" s="84">
        <f>SUM(G87:G91)</f>
        <v>0</v>
      </c>
      <c r="H92" s="84">
        <f>SUM(H87:H91)</f>
        <v>0</v>
      </c>
      <c r="I92" s="84">
        <f>SUM(I87:I91)</f>
        <v>0</v>
      </c>
      <c r="J92" s="435"/>
      <c r="K92" s="436"/>
      <c r="L92" s="437"/>
      <c r="M92" s="71"/>
    </row>
    <row r="93" spans="1:13" hidden="1" x14ac:dyDescent="0.45">
      <c r="A93" s="9"/>
      <c r="B93" s="422" t="s">
        <v>125</v>
      </c>
      <c r="C93" s="423"/>
      <c r="D93" s="476" t="s">
        <v>126</v>
      </c>
      <c r="E93" s="477"/>
      <c r="F93" s="110">
        <f t="shared" ref="F93:I97" si="1">IF(F$92=0,0,F87/F$92)</f>
        <v>0</v>
      </c>
      <c r="G93" s="110">
        <f t="shared" si="1"/>
        <v>0</v>
      </c>
      <c r="H93" s="110">
        <f t="shared" si="1"/>
        <v>0</v>
      </c>
      <c r="I93" s="110">
        <f t="shared" si="1"/>
        <v>0</v>
      </c>
      <c r="J93" s="434" t="s">
        <v>127</v>
      </c>
      <c r="K93" s="432"/>
      <c r="L93" s="433"/>
      <c r="M93" s="71"/>
    </row>
    <row r="94" spans="1:13" hidden="1" x14ac:dyDescent="0.45">
      <c r="A94" s="9"/>
      <c r="B94" s="422"/>
      <c r="C94" s="423"/>
      <c r="D94" s="375" t="s">
        <v>121</v>
      </c>
      <c r="E94" s="376"/>
      <c r="F94" s="110">
        <f t="shared" si="1"/>
        <v>0</v>
      </c>
      <c r="G94" s="110">
        <f t="shared" si="1"/>
        <v>0</v>
      </c>
      <c r="H94" s="110">
        <f t="shared" si="1"/>
        <v>0</v>
      </c>
      <c r="I94" s="110">
        <f t="shared" si="1"/>
        <v>0</v>
      </c>
      <c r="J94" s="434"/>
      <c r="K94" s="432"/>
      <c r="L94" s="433"/>
      <c r="M94" s="71"/>
    </row>
    <row r="95" spans="1:13" hidden="1" x14ac:dyDescent="0.45">
      <c r="A95" s="9"/>
      <c r="B95" s="424"/>
      <c r="C95" s="423"/>
      <c r="D95" s="375" t="s">
        <v>122</v>
      </c>
      <c r="E95" s="376"/>
      <c r="F95" s="110">
        <f t="shared" si="1"/>
        <v>0</v>
      </c>
      <c r="G95" s="110">
        <f t="shared" si="1"/>
        <v>0</v>
      </c>
      <c r="H95" s="110">
        <f t="shared" si="1"/>
        <v>0</v>
      </c>
      <c r="I95" s="110">
        <f t="shared" si="1"/>
        <v>0</v>
      </c>
      <c r="J95" s="434"/>
      <c r="K95" s="432"/>
      <c r="L95" s="433"/>
      <c r="M95" s="71"/>
    </row>
    <row r="96" spans="1:13" hidden="1" x14ac:dyDescent="0.45">
      <c r="A96" s="9"/>
      <c r="B96" s="424"/>
      <c r="C96" s="423"/>
      <c r="D96" s="375" t="s">
        <v>123</v>
      </c>
      <c r="E96" s="376"/>
      <c r="F96" s="110">
        <f t="shared" si="1"/>
        <v>0</v>
      </c>
      <c r="G96" s="110">
        <f t="shared" si="1"/>
        <v>0</v>
      </c>
      <c r="H96" s="110">
        <f t="shared" si="1"/>
        <v>0</v>
      </c>
      <c r="I96" s="110">
        <f t="shared" si="1"/>
        <v>0</v>
      </c>
      <c r="J96" s="434"/>
      <c r="K96" s="432"/>
      <c r="L96" s="433"/>
      <c r="M96" s="71"/>
    </row>
    <row r="97" spans="1:15" hidden="1" x14ac:dyDescent="0.45">
      <c r="A97" s="9"/>
      <c r="B97" s="424"/>
      <c r="C97" s="423"/>
      <c r="D97" s="375" t="s">
        <v>124</v>
      </c>
      <c r="E97" s="376"/>
      <c r="F97" s="110">
        <f t="shared" si="1"/>
        <v>0</v>
      </c>
      <c r="G97" s="110">
        <f t="shared" si="1"/>
        <v>0</v>
      </c>
      <c r="H97" s="110">
        <f t="shared" si="1"/>
        <v>0</v>
      </c>
      <c r="I97" s="110">
        <f t="shared" si="1"/>
        <v>0</v>
      </c>
      <c r="J97" s="434"/>
      <c r="K97" s="432"/>
      <c r="L97" s="433"/>
      <c r="M97" s="71"/>
    </row>
    <row r="98" spans="1:15" ht="17.5" hidden="1" thickBot="1" x14ac:dyDescent="0.5">
      <c r="A98" s="9"/>
      <c r="B98" s="474"/>
      <c r="C98" s="475"/>
      <c r="D98" s="478" t="s">
        <v>34</v>
      </c>
      <c r="E98" s="479"/>
      <c r="F98" s="111">
        <f>SUM(F93:F97)</f>
        <v>0</v>
      </c>
      <c r="G98" s="111">
        <f>SUM(G93:G97)</f>
        <v>0</v>
      </c>
      <c r="H98" s="111">
        <f>SUM(H93:H97)</f>
        <v>0</v>
      </c>
      <c r="I98" s="111">
        <f>SUM(I93:I97)</f>
        <v>0</v>
      </c>
      <c r="J98" s="451"/>
      <c r="K98" s="452"/>
      <c r="L98" s="453"/>
      <c r="M98" s="71"/>
    </row>
    <row r="99" spans="1:15" x14ac:dyDescent="0.4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spans="1:15" ht="17.5" x14ac:dyDescent="0.45">
      <c r="B100" s="8" t="s">
        <v>128</v>
      </c>
      <c r="C100" s="9"/>
      <c r="D100" s="9"/>
      <c r="E100" s="9"/>
      <c r="F100" s="9"/>
      <c r="G100" s="9"/>
      <c r="H100" s="9"/>
      <c r="I100" s="40"/>
      <c r="J100" s="112" t="s">
        <v>129</v>
      </c>
      <c r="K100" s="113" t="s">
        <v>130</v>
      </c>
      <c r="L100" s="112" t="s">
        <v>131</v>
      </c>
      <c r="M100" s="9"/>
    </row>
    <row r="101" spans="1:15" ht="12" customHeight="1" thickBot="1" x14ac:dyDescent="0.5">
      <c r="B101" s="8"/>
      <c r="C101" s="9"/>
      <c r="D101" s="9"/>
      <c r="E101" s="9"/>
      <c r="F101" s="9"/>
      <c r="G101" s="9"/>
      <c r="H101" s="9"/>
      <c r="I101" s="40"/>
      <c r="J101" s="112" t="s">
        <v>132</v>
      </c>
      <c r="K101" s="113" t="s">
        <v>133</v>
      </c>
      <c r="L101" s="112" t="s">
        <v>133</v>
      </c>
      <c r="M101" s="9"/>
    </row>
    <row r="102" spans="1:15" x14ac:dyDescent="0.45">
      <c r="A102" s="9"/>
      <c r="B102" s="469" t="s">
        <v>17</v>
      </c>
      <c r="C102" s="373"/>
      <c r="D102" s="373"/>
      <c r="E102" s="373"/>
      <c r="F102" s="314" t="s">
        <v>18</v>
      </c>
      <c r="G102" s="315"/>
      <c r="H102" s="315"/>
      <c r="I102" s="315"/>
      <c r="J102" s="373" t="s">
        <v>134</v>
      </c>
      <c r="K102" s="373"/>
      <c r="L102" s="374"/>
      <c r="M102" s="15"/>
    </row>
    <row r="103" spans="1:15" x14ac:dyDescent="0.45">
      <c r="A103" s="9"/>
      <c r="B103" s="306" t="s">
        <v>135</v>
      </c>
      <c r="C103" s="307"/>
      <c r="D103" s="307"/>
      <c r="E103" s="307"/>
      <c r="F103" s="470">
        <v>60</v>
      </c>
      <c r="G103" s="471"/>
      <c r="H103" s="471"/>
      <c r="I103" s="471"/>
      <c r="J103" s="472" t="s">
        <v>136</v>
      </c>
      <c r="K103" s="472"/>
      <c r="L103" s="473"/>
      <c r="M103" s="114"/>
      <c r="N103" s="115" t="s">
        <v>137</v>
      </c>
      <c r="O103" t="s">
        <v>138</v>
      </c>
    </row>
    <row r="104" spans="1:15" x14ac:dyDescent="0.45">
      <c r="A104" s="9"/>
      <c r="B104" s="306" t="s">
        <v>139</v>
      </c>
      <c r="C104" s="307"/>
      <c r="D104" s="307"/>
      <c r="E104" s="307"/>
      <c r="F104" s="493" t="s">
        <v>140</v>
      </c>
      <c r="G104" s="494"/>
      <c r="H104" s="116" t="str">
        <f>IF(F104="YES","적용시작연령","")</f>
        <v>적용시작연령</v>
      </c>
      <c r="I104" s="117" t="s">
        <v>141</v>
      </c>
      <c r="J104" s="472" t="s">
        <v>142</v>
      </c>
      <c r="K104" s="472"/>
      <c r="L104" s="473"/>
      <c r="M104" s="114"/>
      <c r="O104" t="s">
        <v>143</v>
      </c>
    </row>
    <row r="105" spans="1:15" ht="33" customHeight="1" x14ac:dyDescent="0.45">
      <c r="A105" s="9"/>
      <c r="B105" s="495" t="s">
        <v>144</v>
      </c>
      <c r="C105" s="496"/>
      <c r="D105" s="496"/>
      <c r="E105" s="360"/>
      <c r="F105" s="493" t="s">
        <v>140</v>
      </c>
      <c r="G105" s="497"/>
      <c r="H105" s="497"/>
      <c r="I105" s="494"/>
      <c r="J105" s="498" t="s">
        <v>145</v>
      </c>
      <c r="K105" s="472"/>
      <c r="L105" s="473"/>
      <c r="M105" s="118"/>
    </row>
    <row r="106" spans="1:15" ht="20.25" customHeight="1" x14ac:dyDescent="0.45">
      <c r="A106" s="9"/>
      <c r="B106" s="344" t="s">
        <v>146</v>
      </c>
      <c r="C106" s="370"/>
      <c r="D106" s="480" t="s">
        <v>147</v>
      </c>
      <c r="E106" s="480"/>
      <c r="F106" s="481" t="s">
        <v>148</v>
      </c>
      <c r="G106" s="482"/>
      <c r="H106" s="482"/>
      <c r="I106" s="482"/>
      <c r="J106" s="483" t="s">
        <v>149</v>
      </c>
      <c r="K106" s="484"/>
      <c r="L106" s="485"/>
      <c r="M106" s="118"/>
    </row>
    <row r="107" spans="1:15" ht="20.25" customHeight="1" x14ac:dyDescent="0.45">
      <c r="A107" s="9"/>
      <c r="B107" s="344"/>
      <c r="C107" s="370"/>
      <c r="D107" s="489" t="s">
        <v>150</v>
      </c>
      <c r="E107" s="489"/>
      <c r="F107" s="490" t="s">
        <v>151</v>
      </c>
      <c r="G107" s="491"/>
      <c r="H107" s="491"/>
      <c r="I107" s="492"/>
      <c r="J107" s="486"/>
      <c r="K107" s="487"/>
      <c r="L107" s="488"/>
      <c r="M107" s="118"/>
    </row>
    <row r="108" spans="1:15" ht="31.5" customHeight="1" x14ac:dyDescent="0.45">
      <c r="A108" s="9"/>
      <c r="B108" s="306" t="s">
        <v>152</v>
      </c>
      <c r="C108" s="307"/>
      <c r="D108" s="307"/>
      <c r="E108" s="307"/>
      <c r="F108" s="493" t="s">
        <v>153</v>
      </c>
      <c r="G108" s="497"/>
      <c r="H108" s="497"/>
      <c r="I108" s="497"/>
      <c r="J108" s="498" t="s">
        <v>154</v>
      </c>
      <c r="K108" s="472"/>
      <c r="L108" s="473"/>
      <c r="M108" s="118" t="s">
        <v>130</v>
      </c>
    </row>
    <row r="109" spans="1:15" ht="57" customHeight="1" x14ac:dyDescent="0.45">
      <c r="A109" s="9"/>
      <c r="B109" s="306" t="s">
        <v>155</v>
      </c>
      <c r="C109" s="307"/>
      <c r="D109" s="307"/>
      <c r="E109" s="307"/>
      <c r="F109" s="493" t="s">
        <v>156</v>
      </c>
      <c r="G109" s="497"/>
      <c r="H109" s="497"/>
      <c r="I109" s="497"/>
      <c r="J109" s="501" t="s">
        <v>157</v>
      </c>
      <c r="K109" s="504"/>
      <c r="L109" s="505"/>
      <c r="M109" s="118" t="s">
        <v>158</v>
      </c>
      <c r="N109" s="119" t="s">
        <v>159</v>
      </c>
      <c r="O109" s="120" t="s">
        <v>160</v>
      </c>
    </row>
    <row r="110" spans="1:15" ht="48.75" customHeight="1" x14ac:dyDescent="0.45">
      <c r="A110" s="9"/>
      <c r="B110" s="344" t="s">
        <v>161</v>
      </c>
      <c r="C110" s="370"/>
      <c r="D110" s="370"/>
      <c r="E110" s="370"/>
      <c r="F110" s="499" t="s">
        <v>162</v>
      </c>
      <c r="G110" s="500"/>
      <c r="H110" s="500"/>
      <c r="I110" s="500"/>
      <c r="J110" s="501" t="s">
        <v>163</v>
      </c>
      <c r="K110" s="502"/>
      <c r="L110" s="503"/>
      <c r="M110" s="114"/>
    </row>
    <row r="111" spans="1:15" ht="33.75" customHeight="1" x14ac:dyDescent="0.45">
      <c r="A111" s="9"/>
      <c r="B111" s="344" t="s">
        <v>164</v>
      </c>
      <c r="C111" s="307"/>
      <c r="D111" s="307"/>
      <c r="E111" s="307"/>
      <c r="F111" s="493" t="s">
        <v>162</v>
      </c>
      <c r="G111" s="497"/>
      <c r="H111" s="497"/>
      <c r="I111" s="497"/>
      <c r="J111" s="501" t="s">
        <v>165</v>
      </c>
      <c r="K111" s="502"/>
      <c r="L111" s="503"/>
      <c r="M111" s="114"/>
    </row>
    <row r="112" spans="1:15" ht="53.25" customHeight="1" x14ac:dyDescent="0.45">
      <c r="A112" s="9"/>
      <c r="B112" s="527" t="s">
        <v>166</v>
      </c>
      <c r="C112" s="528"/>
      <c r="D112" s="321"/>
      <c r="E112" s="360"/>
      <c r="F112" s="533" t="s">
        <v>167</v>
      </c>
      <c r="G112" s="534"/>
      <c r="H112" s="534"/>
      <c r="I112" s="121" t="s">
        <v>168</v>
      </c>
      <c r="J112" s="501" t="s">
        <v>169</v>
      </c>
      <c r="K112" s="502"/>
      <c r="L112" s="503"/>
      <c r="M112" s="114"/>
      <c r="N112" s="119" t="s">
        <v>170</v>
      </c>
      <c r="O112" s="120" t="s">
        <v>171</v>
      </c>
    </row>
    <row r="113" spans="1:28" ht="16.5" customHeight="1" thickBot="1" x14ac:dyDescent="0.5">
      <c r="A113" s="9"/>
      <c r="B113" s="529"/>
      <c r="C113" s="530"/>
      <c r="D113" s="122"/>
      <c r="E113" s="123" t="str">
        <f>LEFT($I$62,4)-5&amp;"년"</f>
        <v>2017년</v>
      </c>
      <c r="F113" s="519">
        <v>0</v>
      </c>
      <c r="G113" s="520"/>
      <c r="H113" s="520"/>
      <c r="I113" s="521"/>
      <c r="J113" s="124"/>
      <c r="K113" s="535" t="s">
        <v>172</v>
      </c>
      <c r="L113" s="536"/>
      <c r="M113" s="125"/>
      <c r="N113" s="126">
        <f t="shared" ref="N113:N118" si="2">F113</f>
        <v>0</v>
      </c>
    </row>
    <row r="114" spans="1:28" ht="16.5" customHeight="1" thickBot="1" x14ac:dyDescent="0.5">
      <c r="A114" s="9"/>
      <c r="B114" s="529"/>
      <c r="C114" s="530"/>
      <c r="D114" s="127"/>
      <c r="E114" s="123" t="str">
        <f>LEFT($I$62,4)-4&amp;"년"</f>
        <v>2018년</v>
      </c>
      <c r="F114" s="519">
        <v>0</v>
      </c>
      <c r="G114" s="520"/>
      <c r="H114" s="520">
        <v>0</v>
      </c>
      <c r="I114" s="521"/>
      <c r="J114" s="124"/>
      <c r="K114" s="537"/>
      <c r="L114" s="538"/>
      <c r="M114" s="125"/>
      <c r="N114" s="126">
        <f t="shared" si="2"/>
        <v>0</v>
      </c>
      <c r="P114" s="128"/>
      <c r="Q114" s="129"/>
      <c r="R114" s="129"/>
      <c r="V114" s="130"/>
      <c r="W114" s="130" t="s">
        <v>173</v>
      </c>
    </row>
    <row r="115" spans="1:28" ht="16.5" customHeight="1" thickBot="1" x14ac:dyDescent="0.5">
      <c r="A115" s="9"/>
      <c r="B115" s="529"/>
      <c r="C115" s="530"/>
      <c r="D115" s="127"/>
      <c r="E115" s="123" t="str">
        <f>LEFT($I$62,4)-3&amp;"년"</f>
        <v>2019년</v>
      </c>
      <c r="F115" s="519">
        <v>0</v>
      </c>
      <c r="G115" s="520"/>
      <c r="H115" s="520">
        <v>0</v>
      </c>
      <c r="I115" s="521"/>
      <c r="J115" s="124"/>
      <c r="K115" s="537"/>
      <c r="L115" s="538"/>
      <c r="M115" s="125"/>
      <c r="N115" s="126">
        <f t="shared" si="2"/>
        <v>0</v>
      </c>
      <c r="P115" s="131" t="s">
        <v>174</v>
      </c>
      <c r="Q115" s="132" t="s">
        <v>175</v>
      </c>
      <c r="R115" s="132" t="s">
        <v>176</v>
      </c>
      <c r="S115" s="132" t="s">
        <v>177</v>
      </c>
      <c r="T115" s="132" t="s">
        <v>178</v>
      </c>
      <c r="U115" s="132" t="s">
        <v>179</v>
      </c>
      <c r="V115" s="132" t="s">
        <v>180</v>
      </c>
      <c r="W115" s="132">
        <v>2016</v>
      </c>
      <c r="X115" s="133">
        <v>2017</v>
      </c>
      <c r="Y115" s="133">
        <v>2018</v>
      </c>
      <c r="Z115" s="133">
        <v>2019</v>
      </c>
      <c r="AA115" s="133">
        <v>2020</v>
      </c>
      <c r="AB115" s="133">
        <v>2021</v>
      </c>
    </row>
    <row r="116" spans="1:28" ht="17.25" customHeight="1" thickBot="1" x14ac:dyDescent="0.5">
      <c r="A116" s="9"/>
      <c r="B116" s="529"/>
      <c r="C116" s="530"/>
      <c r="D116" s="127"/>
      <c r="E116" s="123" t="str">
        <f>LEFT($I$62,4)-2&amp;"년"</f>
        <v>2020년</v>
      </c>
      <c r="F116" s="519">
        <v>0</v>
      </c>
      <c r="G116" s="520"/>
      <c r="H116" s="520">
        <v>0</v>
      </c>
      <c r="I116" s="521"/>
      <c r="J116" s="124"/>
      <c r="K116" s="537"/>
      <c r="L116" s="538"/>
      <c r="M116" s="125"/>
      <c r="N116" s="126">
        <f t="shared" si="2"/>
        <v>0</v>
      </c>
      <c r="P116" s="134" t="s">
        <v>181</v>
      </c>
      <c r="Q116" s="135">
        <v>5.5E-2</v>
      </c>
      <c r="R116" s="135">
        <v>0.06</v>
      </c>
      <c r="S116" s="135">
        <v>0</v>
      </c>
      <c r="T116" s="135">
        <v>0.03</v>
      </c>
      <c r="U116" s="136">
        <v>0.02</v>
      </c>
      <c r="V116" s="137">
        <v>0.02</v>
      </c>
      <c r="W116" s="137">
        <v>0.02</v>
      </c>
      <c r="X116" s="137">
        <v>0.02</v>
      </c>
      <c r="Y116" s="136" t="s">
        <v>182</v>
      </c>
      <c r="Z116" s="517" t="s">
        <v>183</v>
      </c>
      <c r="AA116" s="517" t="s">
        <v>184</v>
      </c>
      <c r="AB116" s="137">
        <v>0.03</v>
      </c>
    </row>
    <row r="117" spans="1:28" ht="17.5" thickBot="1" x14ac:dyDescent="0.5">
      <c r="B117" s="529"/>
      <c r="C117" s="530"/>
      <c r="D117" s="127"/>
      <c r="E117" s="123" t="str">
        <f>LEFT($I$62,4)-1&amp;"년"</f>
        <v>2021년</v>
      </c>
      <c r="F117" s="519">
        <v>0</v>
      </c>
      <c r="G117" s="520"/>
      <c r="H117" s="520">
        <v>0</v>
      </c>
      <c r="I117" s="521"/>
      <c r="J117" s="124"/>
      <c r="K117" s="537"/>
      <c r="L117" s="538"/>
      <c r="M117" s="125"/>
      <c r="N117" s="126">
        <f t="shared" si="2"/>
        <v>0</v>
      </c>
      <c r="P117" s="134" t="s">
        <v>185</v>
      </c>
      <c r="Q117" s="135">
        <v>5.5E-2</v>
      </c>
      <c r="R117" s="135">
        <v>0.06</v>
      </c>
      <c r="S117" s="135">
        <v>0</v>
      </c>
      <c r="T117" s="135">
        <v>0.03</v>
      </c>
      <c r="U117" s="136">
        <v>0.02</v>
      </c>
      <c r="V117" s="137">
        <v>0.02</v>
      </c>
      <c r="W117" s="137">
        <v>0.02</v>
      </c>
      <c r="X117" s="137">
        <v>0.02</v>
      </c>
      <c r="Y117" s="136" t="s">
        <v>182</v>
      </c>
      <c r="Z117" s="518"/>
      <c r="AA117" s="518"/>
      <c r="AB117" s="137">
        <v>0.03</v>
      </c>
    </row>
    <row r="118" spans="1:28" ht="16.5" customHeight="1" thickBot="1" x14ac:dyDescent="0.5">
      <c r="B118" s="531"/>
      <c r="C118" s="532"/>
      <c r="D118" s="138"/>
      <c r="E118" s="123" t="str">
        <f>LEFT($I$62,4)&amp;"년"</f>
        <v>2022년</v>
      </c>
      <c r="F118" s="522">
        <v>0</v>
      </c>
      <c r="G118" s="523"/>
      <c r="H118" s="523">
        <v>0</v>
      </c>
      <c r="I118" s="524"/>
      <c r="J118" s="139"/>
      <c r="K118" s="539"/>
      <c r="L118" s="540"/>
      <c r="M118" s="125"/>
      <c r="N118" s="126">
        <f t="shared" si="2"/>
        <v>0</v>
      </c>
    </row>
    <row r="119" spans="1:28" x14ac:dyDescent="0.45">
      <c r="B119" s="9" t="s">
        <v>186</v>
      </c>
      <c r="M119" s="140" t="s">
        <v>187</v>
      </c>
      <c r="N119" s="141">
        <f>AVERAGE(N114:N118)</f>
        <v>0</v>
      </c>
      <c r="O119" t="s">
        <v>188</v>
      </c>
    </row>
    <row r="120" spans="1:28" x14ac:dyDescent="0.45">
      <c r="B120" s="9"/>
      <c r="F120" s="142"/>
      <c r="G120" s="142"/>
      <c r="H120" s="142"/>
      <c r="I120" s="142"/>
      <c r="J120" s="142"/>
      <c r="K120" s="142"/>
      <c r="M120" s="140" t="s">
        <v>189</v>
      </c>
    </row>
    <row r="121" spans="1:28" ht="17.5" thickBot="1" x14ac:dyDescent="0.5">
      <c r="A121" s="525" t="s">
        <v>190</v>
      </c>
      <c r="B121" s="525"/>
      <c r="C121" s="525"/>
      <c r="D121" s="526" t="s">
        <v>189</v>
      </c>
      <c r="E121" s="526"/>
      <c r="F121" s="526"/>
      <c r="G121" s="526"/>
      <c r="H121" s="526"/>
      <c r="I121" s="526"/>
      <c r="K121" s="143"/>
      <c r="L121" s="143"/>
      <c r="M121" s="144" t="s">
        <v>191</v>
      </c>
      <c r="N121" s="145" t="s">
        <v>192</v>
      </c>
      <c r="O121" t="s">
        <v>193</v>
      </c>
    </row>
    <row r="122" spans="1:28" ht="17.25" customHeight="1" x14ac:dyDescent="0.45">
      <c r="B122" s="506" t="s">
        <v>194</v>
      </c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146" t="s">
        <v>195</v>
      </c>
      <c r="N122" s="130"/>
      <c r="O122" t="s">
        <v>196</v>
      </c>
    </row>
    <row r="123" spans="1:28" ht="17.25" customHeight="1" x14ac:dyDescent="0.45">
      <c r="B123" s="147" t="s">
        <v>197</v>
      </c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146" t="s">
        <v>198</v>
      </c>
    </row>
    <row r="124" spans="1:28" ht="17.25" customHeight="1" x14ac:dyDescent="0.45">
      <c r="B124" s="147" t="s">
        <v>199</v>
      </c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148"/>
    </row>
    <row r="126" spans="1:28" ht="17.5" thickBot="1" x14ac:dyDescent="0.5">
      <c r="B126" s="149" t="s">
        <v>200</v>
      </c>
      <c r="C126" s="149"/>
      <c r="D126" s="149"/>
      <c r="F126" s="507" t="s">
        <v>201</v>
      </c>
      <c r="G126" s="507"/>
      <c r="H126" s="507"/>
      <c r="I126" s="507"/>
      <c r="J126" s="150">
        <v>1</v>
      </c>
      <c r="K126" t="s">
        <v>202</v>
      </c>
      <c r="N126" s="508" t="s">
        <v>203</v>
      </c>
      <c r="O126" t="s">
        <v>204</v>
      </c>
    </row>
    <row r="127" spans="1:28" x14ac:dyDescent="0.45">
      <c r="B127" s="151" t="s">
        <v>205</v>
      </c>
      <c r="N127" s="509"/>
      <c r="O127" t="s">
        <v>206</v>
      </c>
    </row>
    <row r="128" spans="1:28" x14ac:dyDescent="0.45">
      <c r="O128" t="s">
        <v>207</v>
      </c>
    </row>
    <row r="129" spans="2:13" x14ac:dyDescent="0.45">
      <c r="B129" s="149" t="s">
        <v>208</v>
      </c>
    </row>
    <row r="130" spans="2:13" ht="21" customHeight="1" thickBot="1" x14ac:dyDescent="0.5">
      <c r="B130" s="510" t="s">
        <v>209</v>
      </c>
      <c r="C130" s="510"/>
      <c r="D130" s="510"/>
      <c r="E130" s="510"/>
      <c r="F130" s="510"/>
      <c r="G130" s="510"/>
      <c r="H130" s="510"/>
      <c r="I130" s="510"/>
      <c r="J130" s="510"/>
      <c r="K130" s="510"/>
      <c r="L130" s="510"/>
      <c r="M130" s="86"/>
    </row>
    <row r="131" spans="2:13" s="153" customFormat="1" ht="17.149999999999999" customHeight="1" thickBot="1" x14ac:dyDescent="0.5">
      <c r="B131" s="152"/>
      <c r="C131" s="511" t="s">
        <v>210</v>
      </c>
      <c r="D131" s="512"/>
      <c r="E131" s="512"/>
      <c r="F131" s="513"/>
      <c r="G131" s="514" t="s">
        <v>211</v>
      </c>
      <c r="H131" s="515"/>
      <c r="I131" s="516"/>
      <c r="J131" s="42"/>
      <c r="K131" s="42"/>
      <c r="L131" s="42"/>
      <c r="M131" s="42"/>
    </row>
    <row r="132" spans="2:13" s="153" customFormat="1" ht="17.149999999999999" customHeight="1" x14ac:dyDescent="0.45">
      <c r="B132" s="154">
        <v>1</v>
      </c>
      <c r="C132" s="399" t="str">
        <f>LEFT(I62,7)&amp;"월말 재직자명부"</f>
        <v>2022.12월말 재직자명부</v>
      </c>
      <c r="D132" s="400"/>
      <c r="E132" s="400"/>
      <c r="F132" s="552"/>
      <c r="G132" s="399" t="str">
        <f>LEFT(I62,4)&amp;".1.1~"&amp;I62&amp; " 퇴직자명부"</f>
        <v>2022.1.1~2022.12.31 퇴직자명부</v>
      </c>
      <c r="H132" s="400"/>
      <c r="I132" s="401"/>
      <c r="J132" s="42"/>
      <c r="K132" s="42"/>
      <c r="L132" s="42"/>
      <c r="M132" s="42"/>
    </row>
    <row r="133" spans="2:13" s="153" customFormat="1" ht="17.149999999999999" customHeight="1" x14ac:dyDescent="0.45">
      <c r="B133" s="155">
        <v>2</v>
      </c>
      <c r="C133" s="399"/>
      <c r="D133" s="400"/>
      <c r="E133" s="400"/>
      <c r="F133" s="552"/>
      <c r="G133" s="399"/>
      <c r="H133" s="400"/>
      <c r="I133" s="401"/>
      <c r="J133" s="42"/>
      <c r="K133" s="42"/>
      <c r="L133" s="42"/>
      <c r="M133" s="42"/>
    </row>
    <row r="134" spans="2:13" s="153" customFormat="1" ht="17.149999999999999" customHeight="1" x14ac:dyDescent="0.45">
      <c r="B134" s="155">
        <v>3</v>
      </c>
      <c r="C134" s="457"/>
      <c r="D134" s="458"/>
      <c r="E134" s="458"/>
      <c r="F134" s="542"/>
      <c r="G134" s="457"/>
      <c r="H134" s="543"/>
      <c r="I134" s="544"/>
      <c r="J134" s="42"/>
      <c r="K134" s="42"/>
      <c r="L134" s="42"/>
      <c r="M134" s="42"/>
    </row>
    <row r="135" spans="2:13" s="153" customFormat="1" ht="17.149999999999999" customHeight="1" x14ac:dyDescent="0.45">
      <c r="B135" s="155">
        <v>4</v>
      </c>
      <c r="C135" s="457"/>
      <c r="D135" s="458"/>
      <c r="E135" s="458"/>
      <c r="F135" s="542"/>
      <c r="G135" s="457"/>
      <c r="H135" s="543"/>
      <c r="I135" s="544"/>
      <c r="J135" s="42"/>
      <c r="K135" s="42"/>
      <c r="L135" s="42"/>
      <c r="M135" s="42"/>
    </row>
    <row r="136" spans="2:13" s="153" customFormat="1" ht="17.149999999999999" customHeight="1" thickBot="1" x14ac:dyDescent="0.5">
      <c r="B136" s="156">
        <v>5</v>
      </c>
      <c r="C136" s="545"/>
      <c r="D136" s="546"/>
      <c r="E136" s="546"/>
      <c r="F136" s="547"/>
      <c r="G136" s="545"/>
      <c r="H136" s="548"/>
      <c r="I136" s="549"/>
      <c r="J136" s="42"/>
      <c r="K136" s="42"/>
      <c r="L136" s="42"/>
      <c r="M136" s="42"/>
    </row>
    <row r="137" spans="2:13" ht="14.25" customHeight="1" x14ac:dyDescent="0.45">
      <c r="B137" s="153"/>
    </row>
    <row r="138" spans="2:13" x14ac:dyDescent="0.45">
      <c r="B138" s="149" t="s">
        <v>212</v>
      </c>
    </row>
    <row r="139" spans="2:13" x14ac:dyDescent="0.45">
      <c r="B139" s="9" t="s">
        <v>213</v>
      </c>
    </row>
    <row r="141" spans="2:13" x14ac:dyDescent="0.45">
      <c r="B141" s="149" t="s">
        <v>214</v>
      </c>
    </row>
    <row r="142" spans="2:13" x14ac:dyDescent="0.45">
      <c r="B142" s="9" t="s">
        <v>215</v>
      </c>
    </row>
    <row r="143" spans="2:13" x14ac:dyDescent="0.45">
      <c r="B143" s="9" t="s">
        <v>216</v>
      </c>
    </row>
    <row r="145" spans="2:10" x14ac:dyDescent="0.45">
      <c r="B145" s="142" t="s">
        <v>217</v>
      </c>
    </row>
    <row r="146" spans="2:10" ht="30" customHeight="1" x14ac:dyDescent="0.45">
      <c r="B146" s="550" t="s">
        <v>218</v>
      </c>
      <c r="C146" s="550"/>
      <c r="D146" s="550"/>
      <c r="E146" s="550"/>
      <c r="F146" s="550"/>
      <c r="G146" s="550"/>
      <c r="H146" s="550"/>
      <c r="I146" s="550"/>
      <c r="J146" s="550"/>
    </row>
    <row r="148" spans="2:10" x14ac:dyDescent="0.45">
      <c r="B148" s="142" t="s">
        <v>219</v>
      </c>
    </row>
    <row r="149" spans="2:10" ht="125.25" customHeight="1" x14ac:dyDescent="0.45">
      <c r="B149" s="551" t="s">
        <v>220</v>
      </c>
      <c r="C149" s="550"/>
      <c r="D149" s="550"/>
      <c r="E149" s="550"/>
      <c r="F149" s="550"/>
      <c r="G149" s="550"/>
      <c r="H149" s="550"/>
      <c r="I149" s="550"/>
      <c r="J149" s="550"/>
    </row>
    <row r="151" spans="2:10" x14ac:dyDescent="0.45">
      <c r="B151" s="142" t="s">
        <v>221</v>
      </c>
    </row>
    <row r="152" spans="2:10" ht="30" customHeight="1" x14ac:dyDescent="0.45">
      <c r="B152" s="541" t="s">
        <v>222</v>
      </c>
      <c r="C152" s="541"/>
      <c r="D152" s="541"/>
      <c r="E152" s="541"/>
      <c r="F152" s="541"/>
      <c r="G152" s="541"/>
      <c r="H152" s="541"/>
      <c r="I152" s="541"/>
      <c r="J152" s="541"/>
    </row>
    <row r="154" spans="2:10" x14ac:dyDescent="0.45">
      <c r="B154" s="142" t="s">
        <v>223</v>
      </c>
    </row>
    <row r="155" spans="2:10" ht="30" customHeight="1" x14ac:dyDescent="0.45">
      <c r="B155" s="541" t="s">
        <v>224</v>
      </c>
      <c r="C155" s="541"/>
      <c r="D155" s="541"/>
      <c r="E155" s="541"/>
      <c r="F155" s="541"/>
      <c r="G155" s="541"/>
      <c r="H155" s="541"/>
      <c r="I155" s="541"/>
      <c r="J155" s="541"/>
    </row>
  </sheetData>
  <mergeCells count="188">
    <mergeCell ref="B152:J152"/>
    <mergeCell ref="B155:J155"/>
    <mergeCell ref="C135:F135"/>
    <mergeCell ref="G135:I135"/>
    <mergeCell ref="C136:F136"/>
    <mergeCell ref="G136:I136"/>
    <mergeCell ref="B146:J146"/>
    <mergeCell ref="B149:J149"/>
    <mergeCell ref="C132:F132"/>
    <mergeCell ref="G132:I132"/>
    <mergeCell ref="C133:F133"/>
    <mergeCell ref="G133:I133"/>
    <mergeCell ref="C134:F134"/>
    <mergeCell ref="G134:I134"/>
    <mergeCell ref="B122:L122"/>
    <mergeCell ref="F126:I126"/>
    <mergeCell ref="N126:N127"/>
    <mergeCell ref="B130:L130"/>
    <mergeCell ref="C131:F131"/>
    <mergeCell ref="G131:I131"/>
    <mergeCell ref="Z116:Z117"/>
    <mergeCell ref="AA116:AA117"/>
    <mergeCell ref="F117:I117"/>
    <mergeCell ref="F118:I118"/>
    <mergeCell ref="A121:C121"/>
    <mergeCell ref="D121:I121"/>
    <mergeCell ref="B112:C118"/>
    <mergeCell ref="D112:E112"/>
    <mergeCell ref="F112:H112"/>
    <mergeCell ref="J112:L112"/>
    <mergeCell ref="F113:I113"/>
    <mergeCell ref="K113:L118"/>
    <mergeCell ref="F114:I114"/>
    <mergeCell ref="F115:I115"/>
    <mergeCell ref="F116:I116"/>
    <mergeCell ref="B110:E110"/>
    <mergeCell ref="F110:I110"/>
    <mergeCell ref="J110:L110"/>
    <mergeCell ref="B111:E111"/>
    <mergeCell ref="F111:I111"/>
    <mergeCell ref="J111:L111"/>
    <mergeCell ref="B108:E108"/>
    <mergeCell ref="F108:I108"/>
    <mergeCell ref="J108:L108"/>
    <mergeCell ref="B109:E109"/>
    <mergeCell ref="F109:I109"/>
    <mergeCell ref="J109:L109"/>
    <mergeCell ref="B106:C107"/>
    <mergeCell ref="D106:E106"/>
    <mergeCell ref="F106:I106"/>
    <mergeCell ref="J106:L107"/>
    <mergeCell ref="D107:E107"/>
    <mergeCell ref="F107:I107"/>
    <mergeCell ref="B104:E104"/>
    <mergeCell ref="F104:G104"/>
    <mergeCell ref="J104:L104"/>
    <mergeCell ref="B105:E105"/>
    <mergeCell ref="F105:I105"/>
    <mergeCell ref="J105:L105"/>
    <mergeCell ref="B102:E102"/>
    <mergeCell ref="F102:I102"/>
    <mergeCell ref="J102:L102"/>
    <mergeCell ref="B103:E103"/>
    <mergeCell ref="F103:I103"/>
    <mergeCell ref="J103:L103"/>
    <mergeCell ref="B93:C98"/>
    <mergeCell ref="D93:E93"/>
    <mergeCell ref="J93:L98"/>
    <mergeCell ref="D94:E94"/>
    <mergeCell ref="D95:E95"/>
    <mergeCell ref="D96:E96"/>
    <mergeCell ref="D97:E97"/>
    <mergeCell ref="D98:E98"/>
    <mergeCell ref="B87:C92"/>
    <mergeCell ref="D87:E87"/>
    <mergeCell ref="J87:L92"/>
    <mergeCell ref="D88:E88"/>
    <mergeCell ref="D89:E89"/>
    <mergeCell ref="D90:E90"/>
    <mergeCell ref="D91:E91"/>
    <mergeCell ref="D92:E92"/>
    <mergeCell ref="D83:E83"/>
    <mergeCell ref="J83:L83"/>
    <mergeCell ref="B84:C85"/>
    <mergeCell ref="D84:E84"/>
    <mergeCell ref="D85:E85"/>
    <mergeCell ref="J85:L85"/>
    <mergeCell ref="B63:B83"/>
    <mergeCell ref="D63:E63"/>
    <mergeCell ref="D64:E64"/>
    <mergeCell ref="J64:L64"/>
    <mergeCell ref="C65:C68"/>
    <mergeCell ref="D65:E65"/>
    <mergeCell ref="J65:L67"/>
    <mergeCell ref="D66:E66"/>
    <mergeCell ref="D67:E67"/>
    <mergeCell ref="D68:E68"/>
    <mergeCell ref="C79:C82"/>
    <mergeCell ref="D79:E79"/>
    <mergeCell ref="J79:L81"/>
    <mergeCell ref="D80:E80"/>
    <mergeCell ref="D81:E81"/>
    <mergeCell ref="D82:E82"/>
    <mergeCell ref="J82:L82"/>
    <mergeCell ref="C75:C77"/>
    <mergeCell ref="D75:E75"/>
    <mergeCell ref="J75:L77"/>
    <mergeCell ref="D76:E76"/>
    <mergeCell ref="D77:E77"/>
    <mergeCell ref="D78:E78"/>
    <mergeCell ref="C69:C71"/>
    <mergeCell ref="D69:E69"/>
    <mergeCell ref="J69:L70"/>
    <mergeCell ref="D70:E70"/>
    <mergeCell ref="D71:E71"/>
    <mergeCell ref="C72:C74"/>
    <mergeCell ref="D72:E72"/>
    <mergeCell ref="J72:L73"/>
    <mergeCell ref="D73:E73"/>
    <mergeCell ref="D74:E74"/>
    <mergeCell ref="D26:E26"/>
    <mergeCell ref="B61:C62"/>
    <mergeCell ref="D61:I61"/>
    <mergeCell ref="J61:L61"/>
    <mergeCell ref="D62:E62"/>
    <mergeCell ref="J62:L62"/>
    <mergeCell ref="C45:C47"/>
    <mergeCell ref="D45:E45"/>
    <mergeCell ref="K45:L46"/>
    <mergeCell ref="D46:E46"/>
    <mergeCell ref="D47:E47"/>
    <mergeCell ref="C48:C50"/>
    <mergeCell ref="D48:E48"/>
    <mergeCell ref="K48:L49"/>
    <mergeCell ref="D49:E49"/>
    <mergeCell ref="D50:E50"/>
    <mergeCell ref="B41:B50"/>
    <mergeCell ref="C41:C44"/>
    <mergeCell ref="D41:E41"/>
    <mergeCell ref="K41:L41"/>
    <mergeCell ref="B17:C17"/>
    <mergeCell ref="N41:N51"/>
    <mergeCell ref="D42:E42"/>
    <mergeCell ref="K42:L42"/>
    <mergeCell ref="D43:E43"/>
    <mergeCell ref="K43:L43"/>
    <mergeCell ref="D44:E44"/>
    <mergeCell ref="B36:C39"/>
    <mergeCell ref="D36:E36"/>
    <mergeCell ref="K36:L39"/>
    <mergeCell ref="D37:E37"/>
    <mergeCell ref="D38:E38"/>
    <mergeCell ref="D39:E39"/>
    <mergeCell ref="N26:N39"/>
    <mergeCell ref="B51:E51"/>
    <mergeCell ref="K30:L33"/>
    <mergeCell ref="D31:E31"/>
    <mergeCell ref="D32:E32"/>
    <mergeCell ref="D33:E33"/>
    <mergeCell ref="K34:L34"/>
    <mergeCell ref="C35:E35"/>
    <mergeCell ref="K35:L35"/>
    <mergeCell ref="B26:B35"/>
    <mergeCell ref="C26:C29"/>
    <mergeCell ref="D17:L17"/>
    <mergeCell ref="K26:L29"/>
    <mergeCell ref="D27:E27"/>
    <mergeCell ref="D28:E28"/>
    <mergeCell ref="D29:E29"/>
    <mergeCell ref="C30:C33"/>
    <mergeCell ref="D30:E30"/>
    <mergeCell ref="A1:L1"/>
    <mergeCell ref="B12:C12"/>
    <mergeCell ref="D12:L12"/>
    <mergeCell ref="B13:C13"/>
    <mergeCell ref="D13:L13"/>
    <mergeCell ref="B14:C14"/>
    <mergeCell ref="D14:L14"/>
    <mergeCell ref="B24:C25"/>
    <mergeCell ref="D24:I24"/>
    <mergeCell ref="J24:J25"/>
    <mergeCell ref="K24:L24"/>
    <mergeCell ref="D25:E25"/>
    <mergeCell ref="K25:L25"/>
    <mergeCell ref="B15:C15"/>
    <mergeCell ref="D15:L15"/>
    <mergeCell ref="B16:C16"/>
    <mergeCell ref="D16:L16"/>
  </mergeCells>
  <phoneticPr fontId="3" type="noConversion"/>
  <conditionalFormatting sqref="J26:J39">
    <cfRule type="cellIs" dxfId="1" priority="3" stopIfTrue="1" operator="equal">
      <formula>FALSE</formula>
    </cfRule>
  </conditionalFormatting>
  <conditionalFormatting sqref="J41:J51">
    <cfRule type="cellIs" dxfId="0" priority="1" stopIfTrue="1" operator="equal">
      <formula>FALSE</formula>
    </cfRule>
  </conditionalFormatting>
  <dataValidations disablePrompts="1" count="5">
    <dataValidation type="list" allowBlank="1" showInputMessage="1" showErrorMessage="1" sqref="F126:I126" xr:uid="{00000000-0002-0000-0000-000000000000}">
      <formula1>"80.0% (목표 사외적립비율),2015년말 현재 사외적립비율,기타,사외적립자산 없음"</formula1>
    </dataValidation>
    <dataValidation type="list" allowBlank="1" showInputMessage="1" showErrorMessage="1" sqref="F108:I108" xr:uid="{00000000-0002-0000-0000-000001000000}">
      <formula1>$M$107:$M$109</formula1>
    </dataValidation>
    <dataValidation type="list" allowBlank="1" showInputMessage="1" showErrorMessage="1" sqref="F104:F105 F110:I111" xr:uid="{00000000-0002-0000-0000-000002000000}">
      <formula1>$J$99:$J$101</formula1>
    </dataValidation>
    <dataValidation type="list" allowBlank="1" showInputMessage="1" showErrorMessage="1" sqref="I112" xr:uid="{00000000-0002-0000-0000-000003000000}">
      <formula1>$L$99:$L$101</formula1>
    </dataValidation>
    <dataValidation type="list" allowBlank="1" showInputMessage="1" showErrorMessage="1" sqref="D121:I121" xr:uid="{00000000-0002-0000-0000-000004000000}">
      <formula1>$M$119:$M$123</formula1>
    </dataValidation>
  </dataValidations>
  <printOptions horizontalCentered="1"/>
  <pageMargins left="0.17" right="0.27559055118110237" top="0.72" bottom="0.6" header="0.31496062992125984" footer="0.24"/>
  <pageSetup paperSize="9" scale="58" fitToHeight="0" orientation="portrait" r:id="rId1"/>
  <headerFooter>
    <oddFooter>&amp;L&amp;G&amp;C&amp;A&amp;R&amp;P</oddFooter>
  </headerFooter>
  <rowBreaks count="2" manualBreakCount="2">
    <brk id="54" max="11" man="1"/>
    <brk id="99" max="16383" man="1"/>
  </rowBreaks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</sheetPr>
  <dimension ref="A2:AD74"/>
  <sheetViews>
    <sheetView topLeftCell="C1" zoomScale="70" zoomScaleNormal="70" zoomScaleSheetLayoutView="70" workbookViewId="0">
      <selection activeCell="C74" sqref="C74"/>
    </sheetView>
  </sheetViews>
  <sheetFormatPr defaultColWidth="9" defaultRowHeight="17" x14ac:dyDescent="0.45"/>
  <cols>
    <col min="1" max="1" width="9" style="157"/>
    <col min="2" max="2" width="14.08203125" style="158" customWidth="1"/>
    <col min="3" max="3" width="27.5" style="158" customWidth="1"/>
    <col min="4" max="4" width="29.4140625" style="158" customWidth="1"/>
    <col min="5" max="5" width="48.6640625" style="158" customWidth="1"/>
    <col min="6" max="6" width="27.4140625" style="160" customWidth="1"/>
    <col min="7" max="7" width="12.58203125" style="160" customWidth="1"/>
    <col min="8" max="8" width="11.1640625" style="158" customWidth="1"/>
    <col min="9" max="9" width="9.6640625" style="160" customWidth="1"/>
    <col min="10" max="10" width="12.5" style="160" customWidth="1"/>
    <col min="11" max="11" width="11.9140625" style="160" customWidth="1"/>
    <col min="12" max="14" width="9" style="160"/>
    <col min="15" max="15" width="7" style="160" bestFit="1" customWidth="1"/>
    <col min="16" max="16" width="5.6640625" style="160" bestFit="1" customWidth="1"/>
    <col min="17" max="17" width="8.1640625" style="160" bestFit="1" customWidth="1"/>
    <col min="18" max="18" width="26.08203125" style="160" bestFit="1" customWidth="1"/>
    <col min="19" max="30" width="9" style="160"/>
    <col min="31" max="16384" width="9" style="157"/>
  </cols>
  <sheetData>
    <row r="2" spans="2:6" ht="17.5" x14ac:dyDescent="0.45">
      <c r="B2" s="3" t="s">
        <v>225</v>
      </c>
      <c r="D2" s="159"/>
    </row>
    <row r="3" spans="2:6" x14ac:dyDescent="0.45">
      <c r="B3" s="161"/>
    </row>
    <row r="4" spans="2:6" x14ac:dyDescent="0.45">
      <c r="B4" s="149" t="s">
        <v>226</v>
      </c>
    </row>
    <row r="5" spans="2:6" x14ac:dyDescent="0.45">
      <c r="B5" s="162" t="s">
        <v>227</v>
      </c>
    </row>
    <row r="6" spans="2:6" x14ac:dyDescent="0.45">
      <c r="B6" s="162" t="s">
        <v>228</v>
      </c>
    </row>
    <row r="7" spans="2:6" x14ac:dyDescent="0.45">
      <c r="B7" s="163" t="s">
        <v>229</v>
      </c>
    </row>
    <row r="8" spans="2:6" x14ac:dyDescent="0.45">
      <c r="B8" s="164"/>
    </row>
    <row r="9" spans="2:6" x14ac:dyDescent="0.45">
      <c r="B9" s="553" t="s">
        <v>230</v>
      </c>
      <c r="C9" s="556" t="s">
        <v>231</v>
      </c>
      <c r="D9" s="556"/>
      <c r="E9" s="556"/>
      <c r="F9" s="556" t="s">
        <v>232</v>
      </c>
    </row>
    <row r="10" spans="2:6" x14ac:dyDescent="0.45">
      <c r="B10" s="554"/>
      <c r="C10" s="556" t="s">
        <v>233</v>
      </c>
      <c r="D10" s="556"/>
      <c r="E10" s="553" t="s">
        <v>234</v>
      </c>
      <c r="F10" s="556"/>
    </row>
    <row r="11" spans="2:6" x14ac:dyDescent="0.45">
      <c r="B11" s="554"/>
      <c r="C11" s="556" t="s">
        <v>235</v>
      </c>
      <c r="D11" s="556"/>
      <c r="E11" s="554"/>
      <c r="F11" s="556"/>
    </row>
    <row r="12" spans="2:6" x14ac:dyDescent="0.45">
      <c r="B12" s="555"/>
      <c r="C12" s="165" t="s">
        <v>236</v>
      </c>
      <c r="D12" s="165" t="s">
        <v>237</v>
      </c>
      <c r="E12" s="555"/>
      <c r="F12" s="556"/>
    </row>
    <row r="13" spans="2:6" x14ac:dyDescent="0.45">
      <c r="B13" s="166" t="s">
        <v>238</v>
      </c>
      <c r="C13" s="167"/>
      <c r="D13" s="167"/>
      <c r="E13" s="167" t="s">
        <v>239</v>
      </c>
      <c r="F13" s="166" t="s">
        <v>240</v>
      </c>
    </row>
    <row r="14" spans="2:6" x14ac:dyDescent="0.45">
      <c r="B14" s="166" t="s">
        <v>241</v>
      </c>
      <c r="C14" s="168">
        <v>0.19</v>
      </c>
      <c r="D14" s="168">
        <v>0.2</v>
      </c>
      <c r="E14" s="167" t="s">
        <v>242</v>
      </c>
      <c r="F14" s="166" t="s">
        <v>243</v>
      </c>
    </row>
    <row r="15" spans="2:6" x14ac:dyDescent="0.45">
      <c r="B15" s="166" t="s">
        <v>244</v>
      </c>
      <c r="C15" s="168">
        <v>0.32</v>
      </c>
      <c r="D15" s="168">
        <v>0.33500000000000002</v>
      </c>
      <c r="E15" s="167" t="s">
        <v>245</v>
      </c>
      <c r="F15" s="166" t="s">
        <v>246</v>
      </c>
    </row>
    <row r="16" spans="2:6" x14ac:dyDescent="0.45">
      <c r="B16" s="166" t="s">
        <v>247</v>
      </c>
      <c r="C16" s="168">
        <v>0.44500000000000001</v>
      </c>
      <c r="D16" s="168">
        <v>0.47</v>
      </c>
      <c r="E16" s="167" t="s">
        <v>248</v>
      </c>
      <c r="F16" s="166" t="s">
        <v>249</v>
      </c>
    </row>
    <row r="17" spans="2:6" x14ac:dyDescent="0.45">
      <c r="B17" s="166" t="s">
        <v>250</v>
      </c>
      <c r="C17" s="168">
        <v>0.63500000000000001</v>
      </c>
      <c r="D17" s="168">
        <v>0.67</v>
      </c>
      <c r="E17" s="167" t="s">
        <v>251</v>
      </c>
      <c r="F17" s="166" t="s">
        <v>252</v>
      </c>
    </row>
    <row r="18" spans="2:6" x14ac:dyDescent="0.45">
      <c r="B18" s="166" t="s">
        <v>253</v>
      </c>
      <c r="C18" s="168">
        <v>0.95</v>
      </c>
      <c r="D18" s="168">
        <v>1.0049999999999999</v>
      </c>
      <c r="E18" s="167" t="s">
        <v>254</v>
      </c>
      <c r="F18" s="166" t="s">
        <v>255</v>
      </c>
    </row>
    <row r="19" spans="2:6" x14ac:dyDescent="0.45">
      <c r="B19" s="164" t="s">
        <v>256</v>
      </c>
      <c r="C19" s="169"/>
      <c r="D19" s="169"/>
      <c r="E19" s="169"/>
      <c r="F19" s="158"/>
    </row>
    <row r="20" spans="2:6" x14ac:dyDescent="0.45">
      <c r="B20" s="170"/>
      <c r="C20" s="169"/>
      <c r="D20" s="169"/>
      <c r="E20" s="169"/>
      <c r="F20" s="158"/>
    </row>
    <row r="22" spans="2:6" x14ac:dyDescent="0.45">
      <c r="B22" s="149" t="s">
        <v>257</v>
      </c>
    </row>
    <row r="23" spans="2:6" x14ac:dyDescent="0.45">
      <c r="B23" s="162" t="s">
        <v>258</v>
      </c>
      <c r="E23" s="164"/>
    </row>
    <row r="24" spans="2:6" x14ac:dyDescent="0.45">
      <c r="B24" s="162" t="s">
        <v>259</v>
      </c>
      <c r="E24" s="164"/>
    </row>
    <row r="25" spans="2:6" x14ac:dyDescent="0.45">
      <c r="B25" s="162" t="s">
        <v>260</v>
      </c>
      <c r="E25" s="164"/>
    </row>
    <row r="26" spans="2:6" x14ac:dyDescent="0.45">
      <c r="B26" s="163" t="s">
        <v>261</v>
      </c>
      <c r="E26" s="164"/>
    </row>
    <row r="27" spans="2:6" ht="17.5" thickBot="1" x14ac:dyDescent="0.5">
      <c r="B27" s="164"/>
      <c r="E27" s="164"/>
    </row>
    <row r="28" spans="2:6" ht="17.5" thickTop="1" x14ac:dyDescent="0.45">
      <c r="B28" s="171" t="s">
        <v>262</v>
      </c>
      <c r="C28" s="172"/>
      <c r="D28" s="173"/>
      <c r="E28" s="164"/>
    </row>
    <row r="29" spans="2:6" x14ac:dyDescent="0.45">
      <c r="B29" s="174" t="s">
        <v>263</v>
      </c>
      <c r="C29" s="175" t="s">
        <v>264</v>
      </c>
      <c r="D29" s="176"/>
      <c r="E29" s="164"/>
    </row>
    <row r="30" spans="2:6" x14ac:dyDescent="0.45">
      <c r="B30" s="174" t="s">
        <v>265</v>
      </c>
      <c r="C30" s="175" t="s">
        <v>266</v>
      </c>
      <c r="D30" s="176"/>
      <c r="E30" s="164"/>
    </row>
    <row r="31" spans="2:6" ht="17.5" thickBot="1" x14ac:dyDescent="0.5">
      <c r="B31" s="177" t="s">
        <v>267</v>
      </c>
      <c r="C31" s="178" t="s">
        <v>268</v>
      </c>
      <c r="D31" s="179"/>
      <c r="E31" s="164"/>
    </row>
    <row r="32" spans="2:6" ht="17.5" thickTop="1" x14ac:dyDescent="0.45">
      <c r="B32" s="164"/>
      <c r="E32" s="164"/>
    </row>
    <row r="33" spans="2:30" x14ac:dyDescent="0.45">
      <c r="B33" s="161" t="s">
        <v>269</v>
      </c>
      <c r="C33" s="180"/>
      <c r="E33" s="164"/>
    </row>
    <row r="34" spans="2:30" x14ac:dyDescent="0.45">
      <c r="B34" s="181" t="s">
        <v>230</v>
      </c>
      <c r="C34" s="182" t="s">
        <v>270</v>
      </c>
      <c r="D34" s="183" t="s">
        <v>271</v>
      </c>
      <c r="E34" s="184" t="s">
        <v>272</v>
      </c>
      <c r="F34" s="185"/>
      <c r="H34" s="160"/>
    </row>
    <row r="35" spans="2:30" x14ac:dyDescent="0.45">
      <c r="B35" s="166" t="s">
        <v>238</v>
      </c>
      <c r="C35" s="186">
        <v>10</v>
      </c>
      <c r="D35" s="187">
        <f>1000000</f>
        <v>1000000</v>
      </c>
      <c r="E35" s="188" t="s">
        <v>273</v>
      </c>
      <c r="F35" s="189"/>
      <c r="H35" s="160"/>
      <c r="N35"/>
    </row>
    <row r="36" spans="2:30" ht="17.5" x14ac:dyDescent="0.45">
      <c r="B36" s="166" t="s">
        <v>241</v>
      </c>
      <c r="C36" s="186">
        <v>5</v>
      </c>
      <c r="D36" s="187">
        <f>6116580+1911000</f>
        <v>8027580</v>
      </c>
      <c r="E36" s="188" t="s">
        <v>394</v>
      </c>
      <c r="F36" s="189" t="s">
        <v>274</v>
      </c>
      <c r="H36" s="160"/>
      <c r="N36" s="190"/>
    </row>
    <row r="37" spans="2:30" x14ac:dyDescent="0.45">
      <c r="B37" s="166" t="s">
        <v>244</v>
      </c>
      <c r="C37" s="186">
        <v>3</v>
      </c>
      <c r="D37" s="187">
        <f>6669600+3185000</f>
        <v>9854600</v>
      </c>
      <c r="E37" s="188" t="s">
        <v>395</v>
      </c>
      <c r="F37" s="189" t="s">
        <v>275</v>
      </c>
      <c r="H37" s="160"/>
    </row>
    <row r="38" spans="2:30" x14ac:dyDescent="0.45">
      <c r="B38" s="166" t="s">
        <v>247</v>
      </c>
      <c r="C38" s="186">
        <v>6</v>
      </c>
      <c r="D38" s="191">
        <f>31863600+12740000</f>
        <v>44603600</v>
      </c>
      <c r="E38" s="188" t="s">
        <v>396</v>
      </c>
      <c r="F38" s="189" t="s">
        <v>276</v>
      </c>
      <c r="H38" s="160"/>
    </row>
    <row r="39" spans="2:30" x14ac:dyDescent="0.45">
      <c r="B39" s="166" t="s">
        <v>250</v>
      </c>
      <c r="C39" s="186"/>
      <c r="D39" s="187"/>
      <c r="E39" s="188"/>
      <c r="F39" s="189" t="s">
        <v>277</v>
      </c>
      <c r="H39" s="160"/>
    </row>
    <row r="40" spans="2:30" x14ac:dyDescent="0.45">
      <c r="B40" s="166" t="s">
        <v>253</v>
      </c>
      <c r="C40" s="186"/>
      <c r="D40" s="191"/>
      <c r="E40" s="188"/>
      <c r="F40" s="189"/>
      <c r="H40" s="160"/>
    </row>
    <row r="41" spans="2:30" s="197" customFormat="1" x14ac:dyDescent="0.45">
      <c r="B41" s="192" t="s">
        <v>34</v>
      </c>
      <c r="C41" s="193"/>
      <c r="D41" s="194">
        <f>SUM(D35:D40)</f>
        <v>63485780</v>
      </c>
      <c r="E41" s="195"/>
      <c r="F41" s="196"/>
      <c r="G41" s="196"/>
      <c r="H41" s="160"/>
      <c r="I41" s="160"/>
      <c r="J41" s="160"/>
      <c r="K41" s="160"/>
      <c r="L41" s="160"/>
      <c r="M41" s="160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</row>
    <row r="42" spans="2:30" x14ac:dyDescent="0.45">
      <c r="B42" s="164"/>
      <c r="D42" s="198"/>
      <c r="E42" s="169"/>
      <c r="H42" s="160"/>
    </row>
    <row r="43" spans="2:30" x14ac:dyDescent="0.45">
      <c r="B43" s="161" t="s">
        <v>278</v>
      </c>
      <c r="C43" s="180"/>
      <c r="E43" s="164"/>
      <c r="H43" s="160"/>
    </row>
    <row r="44" spans="2:30" x14ac:dyDescent="0.45">
      <c r="B44" s="181" t="s">
        <v>230</v>
      </c>
      <c r="C44" s="182" t="s">
        <v>270</v>
      </c>
      <c r="D44" s="183" t="s">
        <v>271</v>
      </c>
      <c r="E44" s="184" t="s">
        <v>272</v>
      </c>
      <c r="F44" s="185"/>
      <c r="H44" s="160"/>
    </row>
    <row r="45" spans="2:30" x14ac:dyDescent="0.45">
      <c r="B45" s="166" t="s">
        <v>238</v>
      </c>
      <c r="C45" s="186">
        <v>22</v>
      </c>
      <c r="D45" s="187">
        <f>1000000+1200000</f>
        <v>2200000</v>
      </c>
      <c r="E45" s="188" t="s">
        <v>279</v>
      </c>
      <c r="F45" s="189"/>
      <c r="H45" s="160"/>
    </row>
    <row r="46" spans="2:30" x14ac:dyDescent="0.45">
      <c r="B46" s="166" t="s">
        <v>241</v>
      </c>
      <c r="C46" s="186">
        <v>12</v>
      </c>
      <c r="D46" s="187">
        <f>(1363710+9595780+1681610+1401520)+3588000</f>
        <v>17630620</v>
      </c>
      <c r="E46" s="188" t="s">
        <v>280</v>
      </c>
      <c r="F46" s="189" t="s">
        <v>274</v>
      </c>
      <c r="H46" s="160"/>
    </row>
    <row r="47" spans="2:30" x14ac:dyDescent="0.45">
      <c r="B47" s="166" t="s">
        <v>244</v>
      </c>
      <c r="C47" s="186">
        <v>7</v>
      </c>
      <c r="D47" s="187">
        <f>(2764260+2138430+2094780+2104260+2062560+2244610+3060960)+11960000</f>
        <v>28429860</v>
      </c>
      <c r="E47" s="188" t="s">
        <v>281</v>
      </c>
      <c r="F47" s="189" t="s">
        <v>275</v>
      </c>
      <c r="H47" s="160"/>
    </row>
    <row r="48" spans="2:30" x14ac:dyDescent="0.45">
      <c r="B48" s="166" t="s">
        <v>247</v>
      </c>
      <c r="C48" s="186">
        <v>1</v>
      </c>
      <c r="D48" s="191">
        <f>3656280+8970000</f>
        <v>12626280</v>
      </c>
      <c r="E48" s="188" t="s">
        <v>282</v>
      </c>
      <c r="F48" s="189" t="s">
        <v>276</v>
      </c>
      <c r="H48" s="160"/>
    </row>
    <row r="49" spans="1:30" s="197" customFormat="1" x14ac:dyDescent="0.45">
      <c r="B49" s="166" t="s">
        <v>250</v>
      </c>
      <c r="C49" s="186"/>
      <c r="D49" s="187"/>
      <c r="E49" s="188"/>
      <c r="F49" s="189" t="s">
        <v>277</v>
      </c>
      <c r="G49" s="196"/>
      <c r="H49" s="196"/>
      <c r="I49" s="196"/>
      <c r="J49" s="196"/>
      <c r="K49" s="196"/>
      <c r="L49" s="196"/>
      <c r="M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</row>
    <row r="50" spans="1:30" x14ac:dyDescent="0.45">
      <c r="A50" s="160"/>
      <c r="B50" s="166" t="s">
        <v>253</v>
      </c>
      <c r="C50" s="186"/>
      <c r="D50" s="191"/>
      <c r="E50" s="188"/>
      <c r="F50" s="189"/>
      <c r="H50" s="160"/>
      <c r="Y50" s="157"/>
      <c r="Z50" s="157"/>
      <c r="AA50" s="157"/>
      <c r="AB50" s="157"/>
      <c r="AC50" s="157"/>
      <c r="AD50" s="157"/>
    </row>
    <row r="51" spans="1:30" x14ac:dyDescent="0.45">
      <c r="A51" s="160"/>
      <c r="B51" s="192" t="s">
        <v>34</v>
      </c>
      <c r="C51" s="193"/>
      <c r="D51" s="194">
        <f>SUM(D45:D50)</f>
        <v>60886760</v>
      </c>
      <c r="E51" s="195"/>
      <c r="F51" s="196"/>
      <c r="H51" s="160"/>
      <c r="Y51" s="157"/>
      <c r="Z51" s="157"/>
      <c r="AA51" s="157"/>
      <c r="AB51" s="157"/>
      <c r="AC51" s="157"/>
      <c r="AD51" s="157"/>
    </row>
    <row r="52" spans="1:30" x14ac:dyDescent="0.45">
      <c r="A52" s="160"/>
      <c r="C52" s="160"/>
      <c r="D52" s="160"/>
      <c r="E52" s="160"/>
      <c r="H52" s="160"/>
      <c r="Y52" s="157"/>
      <c r="Z52" s="157"/>
      <c r="AA52" s="157"/>
      <c r="AB52" s="157"/>
      <c r="AC52" s="157"/>
      <c r="AD52" s="157"/>
    </row>
    <row r="53" spans="1:30" x14ac:dyDescent="0.45">
      <c r="B53" s="161" t="s">
        <v>283</v>
      </c>
      <c r="C53" s="180"/>
      <c r="E53" s="164"/>
    </row>
    <row r="54" spans="1:30" x14ac:dyDescent="0.45">
      <c r="B54" s="181" t="s">
        <v>230</v>
      </c>
      <c r="C54" s="182" t="s">
        <v>270</v>
      </c>
      <c r="D54" s="183" t="s">
        <v>271</v>
      </c>
      <c r="E54" s="184" t="s">
        <v>272</v>
      </c>
      <c r="F54" s="185" t="s">
        <v>284</v>
      </c>
      <c r="H54" s="160"/>
    </row>
    <row r="55" spans="1:30" x14ac:dyDescent="0.45">
      <c r="B55" s="166" t="s">
        <v>238</v>
      </c>
      <c r="C55" s="199"/>
      <c r="D55" s="200"/>
      <c r="E55" s="201"/>
    </row>
    <row r="56" spans="1:30" x14ac:dyDescent="0.45">
      <c r="B56" s="166" t="s">
        <v>241</v>
      </c>
      <c r="C56" s="199">
        <v>3</v>
      </c>
      <c r="D56" s="200">
        <f>(788060+1439880)+801340</f>
        <v>3029280</v>
      </c>
      <c r="E56" s="201" t="s">
        <v>285</v>
      </c>
      <c r="F56" s="160" t="s">
        <v>274</v>
      </c>
    </row>
    <row r="57" spans="1:30" x14ac:dyDescent="0.45">
      <c r="B57" s="166" t="s">
        <v>244</v>
      </c>
      <c r="C57" s="199">
        <v>1</v>
      </c>
      <c r="D57" s="200">
        <v>2558610</v>
      </c>
      <c r="E57" s="201" t="s">
        <v>285</v>
      </c>
      <c r="F57" s="160" t="s">
        <v>286</v>
      </c>
    </row>
    <row r="58" spans="1:30" x14ac:dyDescent="0.45">
      <c r="B58" s="166" t="s">
        <v>247</v>
      </c>
      <c r="C58" s="199">
        <v>2</v>
      </c>
      <c r="D58" s="202">
        <v>13448950</v>
      </c>
      <c r="E58" s="201" t="s">
        <v>285</v>
      </c>
      <c r="F58" s="160" t="s">
        <v>287</v>
      </c>
    </row>
    <row r="59" spans="1:30" s="197" customFormat="1" x14ac:dyDescent="0.45">
      <c r="B59" s="166" t="s">
        <v>250</v>
      </c>
      <c r="C59" s="199">
        <v>2</v>
      </c>
      <c r="D59" s="200">
        <v>27295950</v>
      </c>
      <c r="E59" s="201" t="s">
        <v>285</v>
      </c>
      <c r="F59" s="160" t="s">
        <v>277</v>
      </c>
      <c r="G59" s="196"/>
      <c r="H59" s="203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96"/>
      <c r="AC59" s="196"/>
      <c r="AD59" s="196"/>
    </row>
    <row r="60" spans="1:30" x14ac:dyDescent="0.45">
      <c r="A60" s="160"/>
      <c r="B60" s="166" t="s">
        <v>253</v>
      </c>
      <c r="C60" s="199"/>
      <c r="D60" s="200"/>
      <c r="E60" s="201"/>
      <c r="H60" s="160"/>
      <c r="Y60" s="157"/>
      <c r="Z60" s="157"/>
      <c r="AA60" s="157"/>
      <c r="AB60" s="157"/>
      <c r="AC60" s="157"/>
      <c r="AD60" s="157"/>
    </row>
    <row r="61" spans="1:30" x14ac:dyDescent="0.45">
      <c r="A61" s="160"/>
      <c r="B61" s="192" t="s">
        <v>34</v>
      </c>
      <c r="C61" s="194">
        <f>SUM(C55:C60)</f>
        <v>8</v>
      </c>
      <c r="D61" s="194">
        <f>SUM(D55:D60)</f>
        <v>46332790</v>
      </c>
      <c r="E61" s="195"/>
      <c r="F61" s="196"/>
      <c r="H61" s="160"/>
      <c r="Y61" s="157"/>
      <c r="Z61" s="157"/>
      <c r="AA61" s="157"/>
      <c r="AB61" s="157"/>
      <c r="AC61" s="157"/>
      <c r="AD61" s="157"/>
    </row>
    <row r="62" spans="1:30" x14ac:dyDescent="0.45">
      <c r="A62" s="160"/>
      <c r="C62" s="160"/>
      <c r="D62" s="160"/>
      <c r="E62" s="160"/>
      <c r="H62" s="160"/>
      <c r="Y62" s="157"/>
      <c r="Z62" s="157"/>
      <c r="AA62" s="157"/>
      <c r="AB62" s="157"/>
      <c r="AC62" s="157"/>
      <c r="AD62" s="157"/>
    </row>
    <row r="63" spans="1:30" x14ac:dyDescent="0.45">
      <c r="A63" s="160"/>
      <c r="C63" s="160"/>
      <c r="D63" s="160"/>
      <c r="E63" s="160"/>
      <c r="H63" s="160"/>
      <c r="Y63" s="157"/>
      <c r="Z63" s="157"/>
      <c r="AA63" s="157"/>
      <c r="AB63" s="157"/>
      <c r="AC63" s="157"/>
      <c r="AD63" s="157"/>
    </row>
    <row r="64" spans="1:30" x14ac:dyDescent="0.45">
      <c r="A64" s="160"/>
      <c r="C64" s="160"/>
      <c r="D64" s="160"/>
      <c r="E64" s="160"/>
      <c r="H64" s="160"/>
      <c r="Y64" s="157"/>
      <c r="Z64" s="157"/>
      <c r="AA64" s="157"/>
      <c r="AB64" s="157"/>
      <c r="AC64" s="157"/>
      <c r="AD64" s="157"/>
    </row>
    <row r="65" spans="1:30" x14ac:dyDescent="0.45">
      <c r="A65" s="160"/>
      <c r="C65" s="160"/>
      <c r="D65" s="160"/>
      <c r="E65" s="160"/>
      <c r="H65" s="160"/>
      <c r="Y65" s="157"/>
      <c r="Z65" s="157"/>
      <c r="AA65" s="157"/>
      <c r="AB65" s="157"/>
      <c r="AC65" s="157"/>
      <c r="AD65" s="157"/>
    </row>
    <row r="66" spans="1:30" x14ac:dyDescent="0.45">
      <c r="A66" s="160"/>
      <c r="C66" s="160"/>
      <c r="D66" s="160"/>
      <c r="E66" s="160"/>
      <c r="H66" s="160"/>
      <c r="Y66" s="157"/>
      <c r="Z66" s="157"/>
      <c r="AA66" s="157"/>
      <c r="AB66" s="157"/>
      <c r="AC66" s="157"/>
      <c r="AD66" s="157"/>
    </row>
    <row r="67" spans="1:30" x14ac:dyDescent="0.45">
      <c r="A67" s="160"/>
      <c r="C67" s="160"/>
      <c r="D67" s="160"/>
      <c r="E67" s="160"/>
      <c r="H67" s="160"/>
      <c r="Y67" s="157"/>
      <c r="Z67" s="157"/>
      <c r="AA67" s="157"/>
      <c r="AB67" s="157"/>
      <c r="AC67" s="157"/>
      <c r="AD67" s="157"/>
    </row>
    <row r="74" spans="1:30" x14ac:dyDescent="0.45">
      <c r="C74" s="158" t="s">
        <v>397</v>
      </c>
    </row>
  </sheetData>
  <mergeCells count="6">
    <mergeCell ref="B9:B12"/>
    <mergeCell ref="C9:E9"/>
    <mergeCell ref="F9:F12"/>
    <mergeCell ref="C10:D10"/>
    <mergeCell ref="E10:E12"/>
    <mergeCell ref="C11:D11"/>
  </mergeCells>
  <phoneticPr fontId="3" type="noConversion"/>
  <pageMargins left="0.43307086614173229" right="0.27559055118110237" top="0.51181102362204722" bottom="0.74803149606299213" header="0.31496062992125984" footer="0.31496062992125984"/>
  <pageSetup paperSize="9" scale="65" fitToHeight="0" orientation="portrait" r:id="rId1"/>
  <headerFooter>
    <oddFooter>&amp;L&amp;G&amp;C&amp;A&amp;R&amp;P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C2:G28"/>
  <sheetViews>
    <sheetView showGridLines="0" topLeftCell="A10" zoomScale="90" zoomScaleNormal="90" zoomScaleSheetLayoutView="100" workbookViewId="0">
      <selection activeCell="I66" sqref="I66"/>
    </sheetView>
  </sheetViews>
  <sheetFormatPr defaultColWidth="9" defaultRowHeight="19.5" customHeight="1" x14ac:dyDescent="0.45"/>
  <cols>
    <col min="1" max="2" width="4.5" style="207" customWidth="1"/>
    <col min="3" max="3" width="11.4140625" style="204" customWidth="1"/>
    <col min="4" max="4" width="26.58203125" style="204" customWidth="1"/>
    <col min="5" max="5" width="72.08203125" style="205" customWidth="1"/>
    <col min="6" max="6" width="9.4140625" style="206" customWidth="1"/>
    <col min="7" max="7" width="8.1640625" style="207" bestFit="1" customWidth="1"/>
    <col min="8" max="16384" width="9" style="207"/>
  </cols>
  <sheetData>
    <row r="2" spans="3:7" ht="24.75" customHeight="1" x14ac:dyDescent="0.45">
      <c r="C2" s="3" t="s">
        <v>288</v>
      </c>
    </row>
    <row r="3" spans="3:7" ht="20.25" customHeight="1" x14ac:dyDescent="0.45">
      <c r="C3" s="14" t="s">
        <v>289</v>
      </c>
    </row>
    <row r="4" spans="3:7" ht="20.25" customHeight="1" x14ac:dyDescent="0.45">
      <c r="C4" s="208" t="s">
        <v>290</v>
      </c>
    </row>
    <row r="5" spans="3:7" ht="14.25" customHeight="1" x14ac:dyDescent="0.45"/>
    <row r="6" spans="3:7" ht="19.5" customHeight="1" x14ac:dyDescent="0.45">
      <c r="C6" s="209" t="s">
        <v>291</v>
      </c>
      <c r="D6" s="209" t="s">
        <v>292</v>
      </c>
      <c r="E6" s="210" t="s">
        <v>293</v>
      </c>
      <c r="F6" s="207"/>
      <c r="G6" s="211"/>
    </row>
    <row r="7" spans="3:7" ht="81" customHeight="1" x14ac:dyDescent="0.45">
      <c r="C7" s="557" t="s">
        <v>294</v>
      </c>
      <c r="D7" s="212"/>
      <c r="E7" s="213" t="s">
        <v>295</v>
      </c>
      <c r="F7" s="207"/>
    </row>
    <row r="8" spans="3:7" ht="24" customHeight="1" x14ac:dyDescent="0.45">
      <c r="C8" s="460"/>
      <c r="D8" s="214" t="s">
        <v>296</v>
      </c>
      <c r="E8" s="215" t="s">
        <v>297</v>
      </c>
      <c r="F8" s="207"/>
    </row>
    <row r="9" spans="3:7" ht="24" customHeight="1" x14ac:dyDescent="0.45">
      <c r="C9" s="460"/>
      <c r="D9" s="214" t="s">
        <v>298</v>
      </c>
      <c r="E9" s="215" t="s">
        <v>299</v>
      </c>
      <c r="F9" s="207"/>
    </row>
    <row r="10" spans="3:7" ht="24" customHeight="1" x14ac:dyDescent="0.45">
      <c r="C10" s="460"/>
      <c r="D10" s="214" t="s">
        <v>300</v>
      </c>
      <c r="E10" s="215" t="s">
        <v>301</v>
      </c>
      <c r="F10" s="207"/>
    </row>
    <row r="11" spans="3:7" ht="24" customHeight="1" x14ac:dyDescent="0.45">
      <c r="C11" s="461"/>
      <c r="D11" s="216" t="s">
        <v>302</v>
      </c>
      <c r="E11" s="217" t="s">
        <v>303</v>
      </c>
      <c r="F11" s="207"/>
    </row>
    <row r="12" spans="3:7" ht="24" customHeight="1" x14ac:dyDescent="0.45">
      <c r="C12" s="557" t="s">
        <v>304</v>
      </c>
      <c r="D12" s="218" t="s">
        <v>305</v>
      </c>
      <c r="E12" s="219" t="s">
        <v>306</v>
      </c>
      <c r="F12" s="207"/>
    </row>
    <row r="13" spans="3:7" ht="36" customHeight="1" x14ac:dyDescent="0.45">
      <c r="C13" s="558"/>
      <c r="D13" s="214" t="s">
        <v>307</v>
      </c>
      <c r="E13" s="220" t="s">
        <v>308</v>
      </c>
      <c r="F13" s="207"/>
    </row>
    <row r="14" spans="3:7" ht="36" customHeight="1" x14ac:dyDescent="0.45">
      <c r="C14" s="558"/>
      <c r="D14" s="214" t="s">
        <v>309</v>
      </c>
      <c r="E14" s="220" t="s">
        <v>310</v>
      </c>
      <c r="F14" s="207"/>
    </row>
    <row r="15" spans="3:7" ht="51" customHeight="1" x14ac:dyDescent="0.45">
      <c r="C15" s="558"/>
      <c r="D15" s="214" t="s">
        <v>311</v>
      </c>
      <c r="E15" s="220" t="s">
        <v>312</v>
      </c>
      <c r="F15" s="207"/>
    </row>
    <row r="16" spans="3:7" ht="51" customHeight="1" x14ac:dyDescent="0.45">
      <c r="C16" s="558"/>
      <c r="D16" s="221" t="s">
        <v>313</v>
      </c>
      <c r="E16" s="220" t="s">
        <v>314</v>
      </c>
      <c r="F16" s="207"/>
    </row>
    <row r="17" spans="3:7" ht="36" customHeight="1" x14ac:dyDescent="0.45">
      <c r="C17" s="558"/>
      <c r="D17" s="214" t="s">
        <v>315</v>
      </c>
      <c r="E17" s="220" t="str">
        <f>LEFT('(1-2) 기초자료_퇴직급여 '!I25,4)&amp;"년에 중간정산 한 재직자는 반드시 입력"&amp;
"(그 외의 중간정산자는 입력하지 않아도 됨)"</f>
        <v>2022년에 중간정산 한 재직자는 반드시 입력(그 외의 중간정산자는 입력하지 않아도 됨)</v>
      </c>
      <c r="F17" s="207"/>
    </row>
    <row r="18" spans="3:7" ht="48.75" customHeight="1" x14ac:dyDescent="0.45">
      <c r="C18" s="559"/>
      <c r="D18" s="222" t="s">
        <v>152</v>
      </c>
      <c r="E18" s="223" t="s">
        <v>316</v>
      </c>
      <c r="F18" s="207"/>
    </row>
    <row r="19" spans="3:7" ht="36" customHeight="1" x14ac:dyDescent="0.45">
      <c r="C19" s="557" t="s">
        <v>317</v>
      </c>
      <c r="D19" s="224"/>
      <c r="E19" s="225" t="s">
        <v>318</v>
      </c>
      <c r="F19" s="207"/>
    </row>
    <row r="20" spans="3:7" s="206" customFormat="1" ht="24" customHeight="1" x14ac:dyDescent="0.45">
      <c r="C20" s="558"/>
      <c r="D20" s="218" t="s">
        <v>319</v>
      </c>
      <c r="E20" s="226" t="s">
        <v>320</v>
      </c>
      <c r="G20" s="207"/>
    </row>
    <row r="21" spans="3:7" s="206" customFormat="1" ht="24" customHeight="1" x14ac:dyDescent="0.45">
      <c r="C21" s="558"/>
      <c r="D21" s="221" t="s">
        <v>321</v>
      </c>
      <c r="E21" s="227" t="s">
        <v>322</v>
      </c>
      <c r="G21" s="207"/>
    </row>
    <row r="22" spans="3:7" s="206" customFormat="1" ht="51" customHeight="1" x14ac:dyDescent="0.45">
      <c r="C22" s="559"/>
      <c r="D22" s="228" t="s">
        <v>152</v>
      </c>
      <c r="E22" s="223" t="s">
        <v>323</v>
      </c>
      <c r="G22" s="207"/>
    </row>
    <row r="23" spans="3:7" s="206" customFormat="1" ht="24" customHeight="1" x14ac:dyDescent="0.45">
      <c r="C23" s="557" t="s">
        <v>324</v>
      </c>
      <c r="D23" s="560" t="s">
        <v>325</v>
      </c>
      <c r="E23" s="561"/>
      <c r="G23" s="207"/>
    </row>
    <row r="24" spans="3:7" s="206" customFormat="1" ht="36" customHeight="1" x14ac:dyDescent="0.45">
      <c r="C24" s="558"/>
      <c r="D24" s="218"/>
      <c r="E24" s="229" t="s">
        <v>326</v>
      </c>
      <c r="G24" s="207"/>
    </row>
    <row r="25" spans="3:7" s="206" customFormat="1" ht="24.75" customHeight="1" x14ac:dyDescent="0.45">
      <c r="C25" s="558"/>
      <c r="D25" s="214" t="s">
        <v>327</v>
      </c>
      <c r="E25" s="227" t="s">
        <v>328</v>
      </c>
      <c r="G25" s="207"/>
    </row>
    <row r="26" spans="3:7" s="206" customFormat="1" ht="24.75" customHeight="1" x14ac:dyDescent="0.45">
      <c r="C26" s="558"/>
      <c r="D26" s="214" t="s">
        <v>329</v>
      </c>
      <c r="E26" s="227" t="s">
        <v>330</v>
      </c>
      <c r="G26" s="207"/>
    </row>
    <row r="27" spans="3:7" s="206" customFormat="1" ht="36" customHeight="1" x14ac:dyDescent="0.45">
      <c r="C27" s="558"/>
      <c r="D27" s="214" t="s">
        <v>331</v>
      </c>
      <c r="E27" s="230" t="s">
        <v>332</v>
      </c>
      <c r="G27" s="207"/>
    </row>
    <row r="28" spans="3:7" s="206" customFormat="1" ht="24" customHeight="1" x14ac:dyDescent="0.45">
      <c r="C28" s="559"/>
      <c r="D28" s="216" t="s">
        <v>333</v>
      </c>
      <c r="E28" s="231" t="s">
        <v>334</v>
      </c>
      <c r="G28" s="207"/>
    </row>
  </sheetData>
  <mergeCells count="5">
    <mergeCell ref="C7:C11"/>
    <mergeCell ref="C12:C18"/>
    <mergeCell ref="C19:C22"/>
    <mergeCell ref="C23:C28"/>
    <mergeCell ref="D23:E23"/>
  </mergeCells>
  <phoneticPr fontId="3" type="noConversion"/>
  <pageMargins left="0.43307086614173229" right="0.27559055118110237" top="0.51181102362204722" bottom="0.74803149606299213" header="0.31496062992125984" footer="0.31496062992125984"/>
  <pageSetup paperSize="9" scale="75" orientation="portrait" r:id="rId1"/>
  <headerFooter>
    <oddFooter>&amp;L&amp;G&amp;C&amp;A&amp;R&amp;P</oddFooter>
  </headerFooter>
  <colBreaks count="1" manualBreakCount="1">
    <brk id="5" max="1048575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S399"/>
  <sheetViews>
    <sheetView zoomScaleNormal="100" zoomScaleSheetLayoutView="70" workbookViewId="0">
      <pane xSplit="3" ySplit="1" topLeftCell="D373" activePane="bottomRight" state="frozen"/>
      <selection activeCell="I66" sqref="I66"/>
      <selection pane="topRight" activeCell="I66" sqref="I66"/>
      <selection pane="bottomLeft" activeCell="I66" sqref="I66"/>
      <selection pane="bottomRight" activeCell="K13" sqref="K13"/>
    </sheetView>
  </sheetViews>
  <sheetFormatPr defaultColWidth="9" defaultRowHeight="16.5" customHeight="1" x14ac:dyDescent="0.45"/>
  <cols>
    <col min="1" max="1" width="34.58203125" style="248" customWidth="1"/>
    <col min="2" max="2" width="11.1640625" style="240" bestFit="1" customWidth="1"/>
    <col min="3" max="3" width="11.58203125" style="242" customWidth="1"/>
    <col min="4" max="4" width="11.1640625" style="242" customWidth="1"/>
    <col min="5" max="5" width="11.58203125" style="266" customWidth="1"/>
    <col min="6" max="6" width="10.4140625" style="264" customWidth="1"/>
    <col min="7" max="7" width="12.1640625" style="264" customWidth="1"/>
    <col min="8" max="8" width="12.6640625" style="264" customWidth="1"/>
    <col min="9" max="9" width="13.58203125" style="242" customWidth="1"/>
    <col min="10" max="10" width="11.58203125" style="242" customWidth="1"/>
    <col min="11" max="11" width="11.9140625" style="246" customWidth="1"/>
    <col min="12" max="13" width="9.58203125" style="242" customWidth="1"/>
    <col min="14" max="14" width="8.5" style="242" customWidth="1"/>
    <col min="15" max="15" width="9.6640625" style="242" bestFit="1" customWidth="1"/>
    <col min="16" max="16" width="11.1640625" style="242" customWidth="1"/>
    <col min="17" max="17" width="9.58203125" style="242" bestFit="1" customWidth="1"/>
    <col min="18" max="18" width="9.6640625" style="242" bestFit="1" customWidth="1"/>
    <col min="19" max="16384" width="9" style="242"/>
  </cols>
  <sheetData>
    <row r="1" spans="1:19" s="238" customFormat="1" ht="46.5" customHeight="1" x14ac:dyDescent="0.45">
      <c r="A1" s="232" t="s">
        <v>335</v>
      </c>
      <c r="B1" s="233" t="s">
        <v>296</v>
      </c>
      <c r="C1" s="234" t="s">
        <v>336</v>
      </c>
      <c r="D1" s="234" t="s">
        <v>337</v>
      </c>
      <c r="E1" s="235" t="s">
        <v>302</v>
      </c>
      <c r="F1" s="236" t="s">
        <v>305</v>
      </c>
      <c r="G1" s="236" t="s">
        <v>338</v>
      </c>
      <c r="H1" s="236" t="s">
        <v>339</v>
      </c>
      <c r="I1" s="234" t="s">
        <v>340</v>
      </c>
      <c r="J1" s="234" t="s">
        <v>313</v>
      </c>
      <c r="K1" s="237" t="s">
        <v>315</v>
      </c>
      <c r="L1" s="234" t="s">
        <v>341</v>
      </c>
      <c r="M1" s="234" t="s">
        <v>342</v>
      </c>
      <c r="N1" s="234" t="s">
        <v>343</v>
      </c>
    </row>
    <row r="2" spans="1:19" ht="16.5" customHeight="1" x14ac:dyDescent="0.45">
      <c r="A2" s="239" t="s">
        <v>344</v>
      </c>
      <c r="B2" s="240" t="s">
        <v>398</v>
      </c>
      <c r="C2" s="241">
        <v>30962</v>
      </c>
      <c r="D2" s="242">
        <v>1</v>
      </c>
      <c r="E2" s="241">
        <v>40637</v>
      </c>
      <c r="F2" s="243">
        <v>7736629.75</v>
      </c>
      <c r="G2" s="244">
        <v>90931895</v>
      </c>
      <c r="H2" s="243">
        <f>IF(I2=3,G2+F2*M2,G2+F2)</f>
        <v>98668524.75</v>
      </c>
      <c r="I2" s="242">
        <v>1</v>
      </c>
      <c r="J2" s="245">
        <v>40637</v>
      </c>
      <c r="M2" s="242" t="s">
        <v>93</v>
      </c>
      <c r="N2" s="242">
        <v>0</v>
      </c>
      <c r="P2" s="242">
        <f>N2/366</f>
        <v>0</v>
      </c>
    </row>
    <row r="3" spans="1:19" ht="16.5" customHeight="1" x14ac:dyDescent="0.45">
      <c r="A3" s="236" t="s">
        <v>302</v>
      </c>
      <c r="B3" s="240" t="s">
        <v>399</v>
      </c>
      <c r="C3" s="241">
        <v>27044</v>
      </c>
      <c r="D3" s="242">
        <v>1</v>
      </c>
      <c r="E3" s="241">
        <v>39034</v>
      </c>
      <c r="F3" s="243">
        <v>12309757.25</v>
      </c>
      <c r="G3" s="244">
        <v>150920996</v>
      </c>
      <c r="H3" s="243">
        <f t="shared" ref="H3:H66" si="0">IF(I3=3,G3+F3*M3,G3+F3)</f>
        <v>163230753.25</v>
      </c>
      <c r="I3" s="242">
        <v>1</v>
      </c>
      <c r="J3" s="241">
        <v>40452</v>
      </c>
      <c r="M3" s="242" t="s">
        <v>93</v>
      </c>
      <c r="N3" s="242">
        <v>0</v>
      </c>
      <c r="O3" s="247"/>
      <c r="P3" s="242">
        <f t="shared" ref="P3:P66" si="1">N3/366</f>
        <v>0</v>
      </c>
    </row>
    <row r="4" spans="1:19" ht="16.5" customHeight="1" x14ac:dyDescent="0.45">
      <c r="A4" s="248" t="s">
        <v>345</v>
      </c>
      <c r="B4" s="240" t="s">
        <v>406</v>
      </c>
      <c r="C4" s="241">
        <v>29564</v>
      </c>
      <c r="D4" s="242">
        <v>1</v>
      </c>
      <c r="E4" s="241">
        <v>39574</v>
      </c>
      <c r="F4" s="243">
        <v>7345500.333333333</v>
      </c>
      <c r="G4" s="244">
        <v>107727297</v>
      </c>
      <c r="H4" s="243">
        <f t="shared" si="0"/>
        <v>115072797.33333333</v>
      </c>
      <c r="I4" s="242">
        <v>1</v>
      </c>
      <c r="J4" s="245">
        <v>39574</v>
      </c>
      <c r="M4" s="242" t="s">
        <v>93</v>
      </c>
      <c r="N4" s="242">
        <v>0</v>
      </c>
      <c r="O4" s="247"/>
      <c r="P4" s="242">
        <f t="shared" si="1"/>
        <v>0</v>
      </c>
    </row>
    <row r="5" spans="1:19" ht="16.5" customHeight="1" x14ac:dyDescent="0.45">
      <c r="A5" s="236" t="s">
        <v>305</v>
      </c>
      <c r="B5" s="240" t="s">
        <v>402</v>
      </c>
      <c r="C5" s="241">
        <v>26828</v>
      </c>
      <c r="D5" s="242">
        <v>2</v>
      </c>
      <c r="E5" s="241">
        <v>37803</v>
      </c>
      <c r="F5" s="243">
        <v>6602487.666666667</v>
      </c>
      <c r="G5" s="244">
        <v>84276685</v>
      </c>
      <c r="H5" s="243">
        <f t="shared" si="0"/>
        <v>90879172.666666672</v>
      </c>
      <c r="I5" s="242">
        <v>1</v>
      </c>
      <c r="J5" s="241">
        <v>40268</v>
      </c>
      <c r="M5" s="242" t="s">
        <v>93</v>
      </c>
      <c r="N5" s="242">
        <v>0</v>
      </c>
      <c r="O5" s="247"/>
      <c r="P5" s="242">
        <f t="shared" si="1"/>
        <v>0</v>
      </c>
    </row>
    <row r="6" spans="1:19" ht="16.5" customHeight="1" x14ac:dyDescent="0.45">
      <c r="A6" s="248" t="s">
        <v>346</v>
      </c>
      <c r="B6" s="240" t="s">
        <v>404</v>
      </c>
      <c r="C6" s="241">
        <v>26109</v>
      </c>
      <c r="D6" s="242">
        <v>2</v>
      </c>
      <c r="E6" s="241">
        <v>37803</v>
      </c>
      <c r="F6" s="243">
        <v>7833694.833333333</v>
      </c>
      <c r="G6" s="244">
        <v>152896553</v>
      </c>
      <c r="H6" s="243">
        <f t="shared" si="0"/>
        <v>160730247.83333334</v>
      </c>
      <c r="I6" s="242">
        <v>1</v>
      </c>
      <c r="J6" s="245">
        <v>37803</v>
      </c>
      <c r="M6" s="242" t="s">
        <v>93</v>
      </c>
      <c r="N6" s="242">
        <v>0</v>
      </c>
      <c r="O6" s="247"/>
      <c r="P6" s="242">
        <f t="shared" si="1"/>
        <v>0</v>
      </c>
      <c r="Q6" s="247"/>
      <c r="S6" s="246"/>
    </row>
    <row r="7" spans="1:19" ht="16.5" customHeight="1" x14ac:dyDescent="0.45">
      <c r="A7" s="249" t="s">
        <v>307</v>
      </c>
      <c r="B7" s="240" t="s">
        <v>400</v>
      </c>
      <c r="C7" s="241">
        <v>25911</v>
      </c>
      <c r="D7" s="242">
        <v>2</v>
      </c>
      <c r="E7" s="241">
        <v>37803</v>
      </c>
      <c r="F7" s="243">
        <v>6532637.666666667</v>
      </c>
      <c r="G7" s="244">
        <v>88271148</v>
      </c>
      <c r="H7" s="243">
        <f t="shared" si="0"/>
        <v>94803785.666666672</v>
      </c>
      <c r="I7" s="242">
        <v>1</v>
      </c>
      <c r="J7" s="245">
        <v>39995</v>
      </c>
      <c r="M7" s="242" t="s">
        <v>93</v>
      </c>
      <c r="N7" s="242">
        <v>0</v>
      </c>
      <c r="O7" s="247"/>
      <c r="P7" s="242">
        <f t="shared" si="1"/>
        <v>0</v>
      </c>
      <c r="Q7" s="247"/>
      <c r="S7" s="246"/>
    </row>
    <row r="8" spans="1:19" ht="16.5" customHeight="1" x14ac:dyDescent="0.45">
      <c r="A8" s="248" t="s">
        <v>347</v>
      </c>
      <c r="B8" s="240" t="s">
        <v>403</v>
      </c>
      <c r="C8" s="241">
        <v>27008</v>
      </c>
      <c r="D8" s="242">
        <v>2</v>
      </c>
      <c r="E8" s="241">
        <v>37803</v>
      </c>
      <c r="F8" s="243">
        <v>6334743</v>
      </c>
      <c r="G8" s="244">
        <v>123640299</v>
      </c>
      <c r="H8" s="243">
        <f t="shared" si="0"/>
        <v>129975042</v>
      </c>
      <c r="I8" s="242">
        <v>1</v>
      </c>
      <c r="J8" s="245">
        <v>37803</v>
      </c>
      <c r="M8" s="242" t="s">
        <v>93</v>
      </c>
      <c r="N8" s="242">
        <v>0</v>
      </c>
      <c r="O8" s="247"/>
      <c r="P8" s="242">
        <f t="shared" si="1"/>
        <v>0</v>
      </c>
      <c r="Q8" s="247"/>
      <c r="S8" s="246"/>
    </row>
    <row r="9" spans="1:19" ht="16.5" customHeight="1" x14ac:dyDescent="0.45">
      <c r="A9" s="250" t="s">
        <v>348</v>
      </c>
      <c r="B9" s="240" t="s">
        <v>405</v>
      </c>
      <c r="C9" s="241">
        <v>27132</v>
      </c>
      <c r="D9" s="242">
        <v>2</v>
      </c>
      <c r="E9" s="241">
        <v>37803</v>
      </c>
      <c r="F9" s="243">
        <v>6274895.083333333</v>
      </c>
      <c r="G9" s="244">
        <v>122472199</v>
      </c>
      <c r="H9" s="243">
        <f t="shared" si="0"/>
        <v>128747094.08333333</v>
      </c>
      <c r="I9" s="242">
        <v>1</v>
      </c>
      <c r="J9" s="245">
        <v>37803</v>
      </c>
      <c r="M9" s="242" t="s">
        <v>93</v>
      </c>
      <c r="N9" s="242">
        <v>0</v>
      </c>
      <c r="O9" s="247"/>
      <c r="P9" s="242">
        <f t="shared" si="1"/>
        <v>0</v>
      </c>
      <c r="Q9" s="247"/>
      <c r="S9" s="246"/>
    </row>
    <row r="10" spans="1:19" ht="16.5" customHeight="1" x14ac:dyDescent="0.45">
      <c r="A10" s="249" t="s">
        <v>309</v>
      </c>
      <c r="B10" s="240" t="s">
        <v>401</v>
      </c>
      <c r="C10" s="241">
        <v>26956</v>
      </c>
      <c r="D10" s="242">
        <v>2</v>
      </c>
      <c r="E10" s="241">
        <v>37803</v>
      </c>
      <c r="F10" s="243">
        <v>6561839.833333333</v>
      </c>
      <c r="G10" s="244">
        <v>88665737</v>
      </c>
      <c r="H10" s="243">
        <f t="shared" si="0"/>
        <v>95227576.833333328</v>
      </c>
      <c r="I10" s="242">
        <v>1</v>
      </c>
      <c r="J10" s="245">
        <v>39995</v>
      </c>
      <c r="M10" s="242" t="s">
        <v>93</v>
      </c>
      <c r="N10" s="242">
        <v>0</v>
      </c>
      <c r="O10" s="247"/>
      <c r="P10" s="242">
        <f t="shared" si="1"/>
        <v>0</v>
      </c>
      <c r="Q10" s="247"/>
      <c r="S10" s="246"/>
    </row>
    <row r="11" spans="1:19" ht="16.5" customHeight="1" x14ac:dyDescent="0.45">
      <c r="A11" s="248" t="s">
        <v>349</v>
      </c>
      <c r="B11" s="240" t="s">
        <v>407</v>
      </c>
      <c r="C11" s="241">
        <v>26970</v>
      </c>
      <c r="D11" s="242">
        <v>2</v>
      </c>
      <c r="E11" s="241">
        <v>37803</v>
      </c>
      <c r="F11" s="243">
        <v>7045977.583333333</v>
      </c>
      <c r="G11" s="244">
        <v>137522039</v>
      </c>
      <c r="H11" s="243">
        <f t="shared" si="0"/>
        <v>144568016.58333334</v>
      </c>
      <c r="I11" s="242">
        <v>1</v>
      </c>
      <c r="J11" s="241">
        <v>37803</v>
      </c>
      <c r="M11" s="242" t="s">
        <v>93</v>
      </c>
      <c r="N11" s="242">
        <v>0</v>
      </c>
      <c r="O11" s="247"/>
      <c r="P11" s="242">
        <f t="shared" si="1"/>
        <v>0</v>
      </c>
      <c r="Q11" s="247"/>
      <c r="S11" s="246"/>
    </row>
    <row r="12" spans="1:19" ht="16.5" customHeight="1" x14ac:dyDescent="0.45">
      <c r="A12" s="251" t="s">
        <v>348</v>
      </c>
      <c r="B12" s="240" t="s">
        <v>408</v>
      </c>
      <c r="C12" s="241">
        <v>25734</v>
      </c>
      <c r="D12" s="242">
        <v>2</v>
      </c>
      <c r="E12" s="241">
        <v>37865</v>
      </c>
      <c r="F12" s="243">
        <v>8592587.416666666</v>
      </c>
      <c r="G12" s="244">
        <v>166248911</v>
      </c>
      <c r="H12" s="243">
        <f t="shared" si="0"/>
        <v>174841498.41666666</v>
      </c>
      <c r="I12" s="242">
        <v>1</v>
      </c>
      <c r="J12" s="252">
        <v>37865</v>
      </c>
      <c r="M12" s="242" t="s">
        <v>93</v>
      </c>
      <c r="N12" s="242">
        <v>0</v>
      </c>
      <c r="O12" s="247"/>
      <c r="P12" s="242">
        <f t="shared" si="1"/>
        <v>0</v>
      </c>
      <c r="Q12" s="247"/>
      <c r="S12" s="246"/>
    </row>
    <row r="13" spans="1:19" ht="16.5" customHeight="1" x14ac:dyDescent="0.45">
      <c r="A13" s="234" t="s">
        <v>313</v>
      </c>
      <c r="B13" s="240" t="s">
        <v>409</v>
      </c>
      <c r="C13" s="241">
        <v>25213</v>
      </c>
      <c r="D13" s="242">
        <v>2</v>
      </c>
      <c r="E13" s="241">
        <v>37803</v>
      </c>
      <c r="F13" s="243">
        <v>6793644.5</v>
      </c>
      <c r="G13" s="244">
        <v>132597050</v>
      </c>
      <c r="H13" s="243">
        <f t="shared" si="0"/>
        <v>139390694.5</v>
      </c>
      <c r="I13" s="242">
        <v>1</v>
      </c>
      <c r="J13" s="241">
        <v>37803</v>
      </c>
      <c r="M13" s="242" t="s">
        <v>93</v>
      </c>
      <c r="N13" s="242">
        <v>0</v>
      </c>
      <c r="O13" s="247"/>
      <c r="P13" s="242">
        <f t="shared" si="1"/>
        <v>0</v>
      </c>
      <c r="Q13" s="247"/>
      <c r="S13" s="246"/>
    </row>
    <row r="14" spans="1:19" ht="16.5" customHeight="1" x14ac:dyDescent="0.45">
      <c r="A14" s="253" t="s">
        <v>350</v>
      </c>
      <c r="B14" s="240" t="s">
        <v>410</v>
      </c>
      <c r="C14" s="241">
        <v>26343</v>
      </c>
      <c r="D14" s="242">
        <v>2</v>
      </c>
      <c r="E14" s="241">
        <v>37803</v>
      </c>
      <c r="F14" s="243">
        <v>6386893.75</v>
      </c>
      <c r="G14" s="244">
        <v>86301808</v>
      </c>
      <c r="H14" s="243">
        <f t="shared" si="0"/>
        <v>92688701.75</v>
      </c>
      <c r="I14" s="242">
        <v>1</v>
      </c>
      <c r="J14" s="241">
        <v>39995</v>
      </c>
      <c r="M14" s="242" t="s">
        <v>93</v>
      </c>
      <c r="N14" s="242">
        <v>0</v>
      </c>
      <c r="O14" s="247"/>
      <c r="P14" s="242">
        <f t="shared" si="1"/>
        <v>0</v>
      </c>
      <c r="Q14" s="247"/>
      <c r="S14" s="246"/>
    </row>
    <row r="15" spans="1:19" ht="16.5" customHeight="1" x14ac:dyDescent="0.45">
      <c r="A15" s="248" t="s">
        <v>351</v>
      </c>
      <c r="B15" s="240" t="s">
        <v>411</v>
      </c>
      <c r="C15" s="241">
        <v>27504</v>
      </c>
      <c r="D15" s="242">
        <v>2</v>
      </c>
      <c r="E15" s="241">
        <v>37803</v>
      </c>
      <c r="F15" s="243">
        <v>6785991.583333333</v>
      </c>
      <c r="G15" s="244">
        <v>91694549</v>
      </c>
      <c r="H15" s="243">
        <f t="shared" si="0"/>
        <v>98480540.583333328</v>
      </c>
      <c r="I15" s="242">
        <v>1</v>
      </c>
      <c r="J15" s="241">
        <v>39995</v>
      </c>
      <c r="M15" s="242" t="s">
        <v>93</v>
      </c>
      <c r="N15" s="242">
        <v>0</v>
      </c>
      <c r="O15" s="247"/>
      <c r="P15" s="242">
        <f t="shared" si="1"/>
        <v>0</v>
      </c>
      <c r="Q15" s="247"/>
      <c r="S15" s="246"/>
    </row>
    <row r="16" spans="1:19" ht="16.5" customHeight="1" x14ac:dyDescent="0.45">
      <c r="A16" s="234" t="s">
        <v>352</v>
      </c>
      <c r="B16" s="240" t="s">
        <v>412</v>
      </c>
      <c r="C16" s="241">
        <v>27775</v>
      </c>
      <c r="D16" s="242">
        <v>2</v>
      </c>
      <c r="E16" s="241">
        <v>37803</v>
      </c>
      <c r="F16" s="243">
        <v>6561880</v>
      </c>
      <c r="G16" s="244">
        <v>128073515</v>
      </c>
      <c r="H16" s="243">
        <f t="shared" si="0"/>
        <v>134635395</v>
      </c>
      <c r="I16" s="242">
        <v>1</v>
      </c>
      <c r="J16" s="241">
        <v>37803</v>
      </c>
      <c r="M16" s="242" t="s">
        <v>93</v>
      </c>
      <c r="N16" s="242">
        <v>0</v>
      </c>
      <c r="O16" s="247"/>
      <c r="P16" s="242">
        <f t="shared" si="1"/>
        <v>0</v>
      </c>
      <c r="Q16" s="247"/>
      <c r="S16" s="246"/>
    </row>
    <row r="17" spans="1:19" ht="16.5" customHeight="1" x14ac:dyDescent="0.45">
      <c r="A17" s="254" t="str">
        <f>LEFT('(1-2) 기초자료_퇴직급여 '!I26,4)&amp;"년에 중간정산한 종업원은 반드시 입력"</f>
        <v>16년에 중간정산한 종업원은 반드시 입력</v>
      </c>
      <c r="B17" s="240" t="s">
        <v>413</v>
      </c>
      <c r="C17" s="241">
        <v>28158</v>
      </c>
      <c r="D17" s="242">
        <v>2</v>
      </c>
      <c r="E17" s="241">
        <v>37803</v>
      </c>
      <c r="F17" s="243">
        <v>6166967.916666667</v>
      </c>
      <c r="G17" s="244">
        <v>83330098</v>
      </c>
      <c r="H17" s="243">
        <f t="shared" si="0"/>
        <v>89497065.916666672</v>
      </c>
      <c r="I17" s="242">
        <v>1</v>
      </c>
      <c r="J17" s="241">
        <v>39995</v>
      </c>
      <c r="M17" s="242" t="s">
        <v>93</v>
      </c>
      <c r="N17" s="242">
        <v>0</v>
      </c>
      <c r="O17" s="247"/>
      <c r="P17" s="242">
        <f t="shared" si="1"/>
        <v>0</v>
      </c>
      <c r="Q17" s="247"/>
      <c r="S17" s="246"/>
    </row>
    <row r="18" spans="1:19" ht="16.5" customHeight="1" x14ac:dyDescent="0.45">
      <c r="A18" s="248" t="s">
        <v>353</v>
      </c>
      <c r="B18" s="240" t="s">
        <v>414</v>
      </c>
      <c r="C18" s="241">
        <v>28176</v>
      </c>
      <c r="D18" s="242">
        <v>2</v>
      </c>
      <c r="E18" s="241">
        <v>37803</v>
      </c>
      <c r="F18" s="243">
        <v>10214152.333333334</v>
      </c>
      <c r="G18" s="244">
        <v>199357866</v>
      </c>
      <c r="H18" s="243">
        <f t="shared" si="0"/>
        <v>209572018.33333334</v>
      </c>
      <c r="I18" s="242">
        <v>1</v>
      </c>
      <c r="J18" s="241">
        <v>37803</v>
      </c>
      <c r="M18" s="242" t="s">
        <v>93</v>
      </c>
      <c r="N18" s="242">
        <v>0</v>
      </c>
      <c r="O18" s="247"/>
      <c r="P18" s="242">
        <f t="shared" si="1"/>
        <v>0</v>
      </c>
      <c r="Q18" s="247"/>
      <c r="S18" s="246"/>
    </row>
    <row r="19" spans="1:19" ht="16.5" customHeight="1" x14ac:dyDescent="0.45">
      <c r="A19" s="234" t="s">
        <v>354</v>
      </c>
      <c r="B19" s="240" t="s">
        <v>415</v>
      </c>
      <c r="C19" s="241">
        <v>25114</v>
      </c>
      <c r="D19" s="242">
        <v>1</v>
      </c>
      <c r="E19" s="241">
        <v>37803</v>
      </c>
      <c r="F19" s="243">
        <v>10488479.833333334</v>
      </c>
      <c r="G19" s="244">
        <v>141723788</v>
      </c>
      <c r="H19" s="243">
        <f t="shared" si="0"/>
        <v>152212267.83333334</v>
      </c>
      <c r="I19" s="242">
        <v>1</v>
      </c>
      <c r="J19" s="241">
        <v>39995</v>
      </c>
      <c r="M19" s="242" t="s">
        <v>93</v>
      </c>
      <c r="N19" s="242">
        <v>0</v>
      </c>
      <c r="O19" s="247"/>
      <c r="P19" s="242">
        <f t="shared" si="1"/>
        <v>0</v>
      </c>
      <c r="Q19" s="247"/>
      <c r="S19" s="246"/>
    </row>
    <row r="20" spans="1:19" ht="16.5" customHeight="1" x14ac:dyDescent="0.45">
      <c r="A20" s="248" t="s">
        <v>355</v>
      </c>
      <c r="B20" s="240" t="s">
        <v>416</v>
      </c>
      <c r="C20" s="241">
        <v>28358</v>
      </c>
      <c r="D20" s="242">
        <v>2</v>
      </c>
      <c r="E20" s="241">
        <v>37803</v>
      </c>
      <c r="F20" s="243">
        <v>7170772.083333333</v>
      </c>
      <c r="G20" s="244">
        <v>135517769</v>
      </c>
      <c r="H20" s="243">
        <f t="shared" si="0"/>
        <v>142688541.08333334</v>
      </c>
      <c r="I20" s="242">
        <v>1</v>
      </c>
      <c r="J20" s="241">
        <v>37803</v>
      </c>
      <c r="M20" s="242" t="s">
        <v>93</v>
      </c>
      <c r="N20" s="242">
        <v>226</v>
      </c>
      <c r="O20" s="247"/>
      <c r="P20" s="242">
        <f t="shared" si="1"/>
        <v>0.61748633879781423</v>
      </c>
      <c r="Q20" s="247"/>
      <c r="S20" s="246"/>
    </row>
    <row r="21" spans="1:19" ht="16.5" customHeight="1" x14ac:dyDescent="0.45">
      <c r="A21" s="234" t="s">
        <v>342</v>
      </c>
      <c r="B21" s="240" t="s">
        <v>417</v>
      </c>
      <c r="C21" s="241">
        <v>25844</v>
      </c>
      <c r="D21" s="242">
        <v>1</v>
      </c>
      <c r="E21" s="241">
        <v>37803</v>
      </c>
      <c r="F21" s="243">
        <v>10501142.083333334</v>
      </c>
      <c r="G21" s="244">
        <v>141894884</v>
      </c>
      <c r="H21" s="243">
        <f t="shared" si="0"/>
        <v>152396026.08333334</v>
      </c>
      <c r="I21" s="242">
        <v>1</v>
      </c>
      <c r="J21" s="241">
        <v>39995</v>
      </c>
      <c r="M21" s="242" t="s">
        <v>93</v>
      </c>
      <c r="N21" s="242">
        <v>0</v>
      </c>
      <c r="O21" s="247"/>
      <c r="P21" s="242">
        <f t="shared" si="1"/>
        <v>0</v>
      </c>
      <c r="Q21" s="247"/>
      <c r="S21" s="246"/>
    </row>
    <row r="22" spans="1:19" ht="16.5" customHeight="1" x14ac:dyDescent="0.45">
      <c r="A22" s="248" t="s">
        <v>356</v>
      </c>
      <c r="B22" s="240" t="s">
        <v>418</v>
      </c>
      <c r="C22" s="241">
        <v>27607</v>
      </c>
      <c r="D22" s="242">
        <v>2</v>
      </c>
      <c r="E22" s="241">
        <v>37803</v>
      </c>
      <c r="F22" s="243">
        <v>6045081.666666667</v>
      </c>
      <c r="G22" s="244">
        <v>117986745</v>
      </c>
      <c r="H22" s="243">
        <f t="shared" si="0"/>
        <v>124031826.66666667</v>
      </c>
      <c r="I22" s="242">
        <v>1</v>
      </c>
      <c r="J22" s="241">
        <v>37803</v>
      </c>
      <c r="M22" s="242" t="s">
        <v>93</v>
      </c>
      <c r="N22" s="242">
        <v>0</v>
      </c>
      <c r="O22" s="247"/>
      <c r="P22" s="242">
        <f t="shared" si="1"/>
        <v>0</v>
      </c>
      <c r="Q22" s="247"/>
      <c r="S22" s="246"/>
    </row>
    <row r="23" spans="1:19" ht="16.5" customHeight="1" x14ac:dyDescent="0.45">
      <c r="A23" s="255" t="s">
        <v>155</v>
      </c>
      <c r="B23" s="240" t="s">
        <v>419</v>
      </c>
      <c r="C23" s="241">
        <v>27654</v>
      </c>
      <c r="D23" s="242">
        <v>2</v>
      </c>
      <c r="E23" s="256">
        <v>37803</v>
      </c>
      <c r="F23" s="243">
        <v>7073588</v>
      </c>
      <c r="G23" s="244">
        <v>95580647</v>
      </c>
      <c r="H23" s="243">
        <f t="shared" si="0"/>
        <v>102654235</v>
      </c>
      <c r="I23" s="242">
        <v>1</v>
      </c>
      <c r="J23" s="241">
        <v>39995</v>
      </c>
      <c r="M23" s="242" t="s">
        <v>93</v>
      </c>
      <c r="N23" s="242">
        <v>0</v>
      </c>
      <c r="O23" s="247"/>
      <c r="P23" s="242">
        <f t="shared" si="1"/>
        <v>0</v>
      </c>
      <c r="Q23" s="247"/>
      <c r="S23" s="246"/>
    </row>
    <row r="24" spans="1:19" ht="16.5" customHeight="1" x14ac:dyDescent="0.45">
      <c r="A24" s="248" t="s">
        <v>357</v>
      </c>
      <c r="B24" s="240" t="s">
        <v>420</v>
      </c>
      <c r="C24" s="241">
        <v>26314</v>
      </c>
      <c r="D24" s="242">
        <v>2</v>
      </c>
      <c r="E24" s="256">
        <v>37803</v>
      </c>
      <c r="F24" s="243">
        <v>6870782</v>
      </c>
      <c r="G24" s="244">
        <v>134102605</v>
      </c>
      <c r="H24" s="243">
        <f t="shared" si="0"/>
        <v>140973387</v>
      </c>
      <c r="I24" s="242">
        <v>1</v>
      </c>
      <c r="J24" s="241">
        <v>37803</v>
      </c>
      <c r="M24" s="242" t="s">
        <v>93</v>
      </c>
      <c r="N24" s="242">
        <v>0</v>
      </c>
      <c r="O24" s="247"/>
      <c r="P24" s="242">
        <f t="shared" si="1"/>
        <v>0</v>
      </c>
      <c r="Q24" s="247"/>
      <c r="S24" s="246"/>
    </row>
    <row r="25" spans="1:19" ht="16.5" customHeight="1" x14ac:dyDescent="0.45">
      <c r="A25" s="254" t="s">
        <v>358</v>
      </c>
      <c r="B25" s="240" t="s">
        <v>421</v>
      </c>
      <c r="C25" s="241">
        <v>27542</v>
      </c>
      <c r="D25" s="242">
        <v>2</v>
      </c>
      <c r="E25" s="256">
        <v>37803</v>
      </c>
      <c r="F25" s="243">
        <v>9484587.666666666</v>
      </c>
      <c r="G25" s="244">
        <v>128158867</v>
      </c>
      <c r="H25" s="243">
        <f t="shared" si="0"/>
        <v>137643454.66666666</v>
      </c>
      <c r="I25" s="242">
        <v>1</v>
      </c>
      <c r="J25" s="241">
        <v>39995</v>
      </c>
      <c r="M25" s="242" t="s">
        <v>93</v>
      </c>
      <c r="N25" s="242">
        <v>0</v>
      </c>
      <c r="O25" s="247"/>
      <c r="P25" s="242">
        <f t="shared" si="1"/>
        <v>0</v>
      </c>
      <c r="Q25" s="247"/>
      <c r="S25" s="246"/>
    </row>
    <row r="26" spans="1:19" ht="16.5" customHeight="1" x14ac:dyDescent="0.45">
      <c r="A26" s="248" t="s">
        <v>359</v>
      </c>
      <c r="B26" s="240" t="s">
        <v>422</v>
      </c>
      <c r="C26" s="241">
        <v>27619</v>
      </c>
      <c r="D26" s="242">
        <v>2</v>
      </c>
      <c r="E26" s="256">
        <v>37803</v>
      </c>
      <c r="F26" s="243">
        <v>7504276.666666667</v>
      </c>
      <c r="G26" s="244">
        <v>101400253</v>
      </c>
      <c r="H26" s="243">
        <f t="shared" si="0"/>
        <v>108904529.66666667</v>
      </c>
      <c r="I26" s="242">
        <v>1</v>
      </c>
      <c r="J26" s="241">
        <v>39995</v>
      </c>
      <c r="M26" s="242" t="s">
        <v>93</v>
      </c>
      <c r="N26" s="242">
        <v>0</v>
      </c>
      <c r="O26" s="247"/>
      <c r="P26" s="242">
        <f t="shared" si="1"/>
        <v>0</v>
      </c>
      <c r="Q26" s="247"/>
      <c r="S26" s="246"/>
    </row>
    <row r="27" spans="1:19" ht="16.5" customHeight="1" x14ac:dyDescent="0.45">
      <c r="B27" s="240" t="s">
        <v>423</v>
      </c>
      <c r="C27" s="241">
        <v>28656</v>
      </c>
      <c r="D27" s="242">
        <v>1</v>
      </c>
      <c r="E27" s="256">
        <v>37895</v>
      </c>
      <c r="F27" s="243">
        <v>9668023.166666666</v>
      </c>
      <c r="G27" s="244">
        <v>130637508</v>
      </c>
      <c r="H27" s="243">
        <f t="shared" si="0"/>
        <v>140305531.16666666</v>
      </c>
      <c r="I27" s="242">
        <v>1</v>
      </c>
      <c r="J27" s="241">
        <v>39995</v>
      </c>
      <c r="M27" s="242" t="s">
        <v>93</v>
      </c>
      <c r="N27" s="242">
        <v>0</v>
      </c>
      <c r="O27" s="247"/>
      <c r="P27" s="242">
        <f t="shared" si="1"/>
        <v>0</v>
      </c>
      <c r="Q27" s="247"/>
      <c r="S27" s="246"/>
    </row>
    <row r="28" spans="1:19" ht="16.5" customHeight="1" x14ac:dyDescent="0.45">
      <c r="B28" s="240" t="s">
        <v>424</v>
      </c>
      <c r="C28" s="252">
        <v>25373</v>
      </c>
      <c r="D28" s="257">
        <v>1</v>
      </c>
      <c r="E28" s="258">
        <v>37895</v>
      </c>
      <c r="F28" s="259">
        <v>16666670</v>
      </c>
      <c r="G28" s="260">
        <v>22222227</v>
      </c>
      <c r="H28" s="261">
        <f t="shared" si="0"/>
        <v>55555567</v>
      </c>
      <c r="I28" s="257">
        <v>3</v>
      </c>
      <c r="J28" s="252">
        <v>44682</v>
      </c>
      <c r="K28" s="262">
        <v>241905680</v>
      </c>
      <c r="L28" s="257"/>
      <c r="M28" s="257">
        <v>2</v>
      </c>
      <c r="N28" s="257">
        <v>0</v>
      </c>
      <c r="O28" s="275" t="s">
        <v>360</v>
      </c>
      <c r="P28" s="242">
        <f t="shared" si="1"/>
        <v>0</v>
      </c>
      <c r="Q28" s="263"/>
      <c r="S28" s="246"/>
    </row>
    <row r="29" spans="1:19" ht="16.5" customHeight="1" x14ac:dyDescent="0.45">
      <c r="B29" s="240" t="s">
        <v>425</v>
      </c>
      <c r="C29" s="241">
        <v>29169</v>
      </c>
      <c r="D29" s="242">
        <v>2</v>
      </c>
      <c r="E29" s="256">
        <v>38749</v>
      </c>
      <c r="F29" s="243">
        <v>9795410</v>
      </c>
      <c r="G29" s="244">
        <v>165797378</v>
      </c>
      <c r="H29" s="243">
        <f t="shared" si="0"/>
        <v>175592788</v>
      </c>
      <c r="I29" s="242">
        <v>1</v>
      </c>
      <c r="J29" s="241">
        <v>38749</v>
      </c>
      <c r="M29" s="242" t="s">
        <v>93</v>
      </c>
      <c r="N29" s="242">
        <v>0</v>
      </c>
      <c r="O29" s="247"/>
      <c r="P29" s="242">
        <f t="shared" si="1"/>
        <v>0</v>
      </c>
      <c r="Q29" s="247"/>
      <c r="S29" s="246"/>
    </row>
    <row r="30" spans="1:19" ht="16.5" customHeight="1" x14ac:dyDescent="0.45">
      <c r="B30" s="240" t="s">
        <v>426</v>
      </c>
      <c r="C30" s="241">
        <v>29124</v>
      </c>
      <c r="D30" s="242">
        <v>2</v>
      </c>
      <c r="E30" s="256">
        <v>38749</v>
      </c>
      <c r="F30" s="243">
        <v>9530202.916666666</v>
      </c>
      <c r="G30" s="244">
        <v>161308476</v>
      </c>
      <c r="H30" s="243">
        <f t="shared" si="0"/>
        <v>170838678.91666666</v>
      </c>
      <c r="I30" s="242">
        <v>1</v>
      </c>
      <c r="J30" s="241">
        <v>38749</v>
      </c>
      <c r="M30" s="242" t="s">
        <v>93</v>
      </c>
      <c r="N30" s="242">
        <v>0</v>
      </c>
      <c r="O30" s="247"/>
      <c r="P30" s="242">
        <f t="shared" si="1"/>
        <v>0</v>
      </c>
      <c r="Q30" s="247"/>
      <c r="S30" s="246"/>
    </row>
    <row r="31" spans="1:19" ht="16.5" customHeight="1" x14ac:dyDescent="0.45">
      <c r="B31" s="240" t="s">
        <v>427</v>
      </c>
      <c r="C31" s="241">
        <v>28571</v>
      </c>
      <c r="D31" s="242">
        <v>1</v>
      </c>
      <c r="E31" s="256">
        <v>38749</v>
      </c>
      <c r="F31" s="243">
        <v>7564061.75</v>
      </c>
      <c r="G31" s="244">
        <v>128029516</v>
      </c>
      <c r="H31" s="243">
        <f t="shared" si="0"/>
        <v>135593577.75</v>
      </c>
      <c r="I31" s="242">
        <v>1</v>
      </c>
      <c r="J31" s="241">
        <v>38749</v>
      </c>
      <c r="M31" s="242" t="s">
        <v>93</v>
      </c>
      <c r="N31" s="242">
        <v>0</v>
      </c>
      <c r="O31" s="247"/>
      <c r="P31" s="242">
        <f t="shared" si="1"/>
        <v>0</v>
      </c>
      <c r="Q31" s="247"/>
      <c r="S31" s="246"/>
    </row>
    <row r="32" spans="1:19" ht="16.5" customHeight="1" x14ac:dyDescent="0.45">
      <c r="B32" s="240" t="s">
        <v>428</v>
      </c>
      <c r="C32" s="241">
        <v>29277</v>
      </c>
      <c r="D32" s="242">
        <v>1</v>
      </c>
      <c r="E32" s="256">
        <v>39301</v>
      </c>
      <c r="F32" s="243">
        <v>7466518.5</v>
      </c>
      <c r="G32" s="244">
        <v>115086666</v>
      </c>
      <c r="H32" s="243">
        <f t="shared" si="0"/>
        <v>122553184.5</v>
      </c>
      <c r="I32" s="242">
        <v>1</v>
      </c>
      <c r="J32" s="241">
        <v>39301</v>
      </c>
      <c r="M32" s="242" t="s">
        <v>93</v>
      </c>
      <c r="N32" s="242">
        <v>0</v>
      </c>
      <c r="O32" s="247"/>
      <c r="P32" s="242">
        <f t="shared" si="1"/>
        <v>0</v>
      </c>
      <c r="Q32" s="247"/>
      <c r="S32" s="246"/>
    </row>
    <row r="33" spans="2:19" ht="16.5" customHeight="1" x14ac:dyDescent="0.45">
      <c r="B33" s="240" t="s">
        <v>429</v>
      </c>
      <c r="C33" s="241">
        <v>29487</v>
      </c>
      <c r="D33" s="242">
        <v>1</v>
      </c>
      <c r="E33" s="256">
        <v>39489</v>
      </c>
      <c r="F33" s="243">
        <v>8128924.416666667</v>
      </c>
      <c r="G33" s="244">
        <v>115475269</v>
      </c>
      <c r="H33" s="243">
        <f t="shared" si="0"/>
        <v>123604193.41666667</v>
      </c>
      <c r="I33" s="242">
        <v>1</v>
      </c>
      <c r="J33" s="241">
        <v>39489</v>
      </c>
      <c r="M33" s="242" t="s">
        <v>93</v>
      </c>
      <c r="N33" s="242">
        <v>253</v>
      </c>
      <c r="O33" s="247"/>
      <c r="P33" s="242">
        <f t="shared" si="1"/>
        <v>0.69125683060109289</v>
      </c>
      <c r="Q33" s="247"/>
      <c r="S33" s="246"/>
    </row>
    <row r="34" spans="2:19" ht="16.5" customHeight="1" x14ac:dyDescent="0.45">
      <c r="B34" s="240" t="s">
        <v>430</v>
      </c>
      <c r="C34" s="241">
        <v>30082</v>
      </c>
      <c r="D34" s="242">
        <v>1</v>
      </c>
      <c r="E34" s="256">
        <v>39489</v>
      </c>
      <c r="F34" s="243">
        <v>7303345.333333333</v>
      </c>
      <c r="G34" s="244">
        <v>108809841</v>
      </c>
      <c r="H34" s="243">
        <f t="shared" si="0"/>
        <v>116113186.33333333</v>
      </c>
      <c r="I34" s="242">
        <v>1</v>
      </c>
      <c r="J34" s="241">
        <v>39489</v>
      </c>
      <c r="M34" s="242" t="s">
        <v>93</v>
      </c>
      <c r="N34" s="242">
        <v>0</v>
      </c>
      <c r="O34" s="247"/>
      <c r="P34" s="242">
        <f t="shared" si="1"/>
        <v>0</v>
      </c>
      <c r="Q34" s="247"/>
      <c r="S34" s="246"/>
    </row>
    <row r="35" spans="2:19" ht="16.5" customHeight="1" x14ac:dyDescent="0.45">
      <c r="B35" s="240" t="s">
        <v>431</v>
      </c>
      <c r="C35" s="241">
        <v>29657</v>
      </c>
      <c r="D35" s="242">
        <v>2</v>
      </c>
      <c r="E35" s="256">
        <v>39575</v>
      </c>
      <c r="F35" s="243">
        <v>4872108.583333333</v>
      </c>
      <c r="G35" s="244">
        <v>71439795</v>
      </c>
      <c r="H35" s="243">
        <f t="shared" si="0"/>
        <v>76311903.583333328</v>
      </c>
      <c r="I35" s="242">
        <v>1</v>
      </c>
      <c r="J35" s="241">
        <v>39575</v>
      </c>
      <c r="M35" s="242" t="s">
        <v>93</v>
      </c>
      <c r="N35" s="242">
        <v>0</v>
      </c>
      <c r="O35" s="247"/>
      <c r="P35" s="242">
        <f t="shared" si="1"/>
        <v>0</v>
      </c>
      <c r="Q35" s="247"/>
      <c r="S35" s="246"/>
    </row>
    <row r="36" spans="2:19" ht="16.5" customHeight="1" x14ac:dyDescent="0.45">
      <c r="B36" s="240" t="s">
        <v>432</v>
      </c>
      <c r="C36" s="241">
        <v>28203</v>
      </c>
      <c r="D36" s="242">
        <v>1</v>
      </c>
      <c r="E36" s="256">
        <v>39713</v>
      </c>
      <c r="F36" s="243">
        <v>9180632</v>
      </c>
      <c r="G36" s="244">
        <v>131144699</v>
      </c>
      <c r="H36" s="243">
        <f t="shared" si="0"/>
        <v>140325331</v>
      </c>
      <c r="I36" s="242">
        <v>1</v>
      </c>
      <c r="J36" s="241">
        <v>39713</v>
      </c>
      <c r="M36" s="242" t="s">
        <v>93</v>
      </c>
      <c r="N36" s="242">
        <v>0</v>
      </c>
      <c r="O36" s="247"/>
      <c r="P36" s="242">
        <f t="shared" si="1"/>
        <v>0</v>
      </c>
      <c r="Q36" s="247"/>
      <c r="S36" s="246"/>
    </row>
    <row r="37" spans="2:19" ht="16.5" customHeight="1" x14ac:dyDescent="0.45">
      <c r="B37" s="240" t="s">
        <v>433</v>
      </c>
      <c r="C37" s="241">
        <v>31452</v>
      </c>
      <c r="D37" s="242">
        <v>2</v>
      </c>
      <c r="E37" s="256">
        <v>39972</v>
      </c>
      <c r="F37" s="243">
        <v>4795939.75</v>
      </c>
      <c r="G37" s="244">
        <v>65106525</v>
      </c>
      <c r="H37" s="243">
        <f t="shared" si="0"/>
        <v>69902464.75</v>
      </c>
      <c r="I37" s="242">
        <v>1</v>
      </c>
      <c r="J37" s="241">
        <v>39972</v>
      </c>
      <c r="M37" s="242" t="s">
        <v>93</v>
      </c>
      <c r="N37" s="242">
        <v>0</v>
      </c>
      <c r="O37" s="247"/>
      <c r="P37" s="242">
        <f t="shared" si="1"/>
        <v>0</v>
      </c>
      <c r="Q37" s="247"/>
      <c r="S37" s="246"/>
    </row>
    <row r="38" spans="2:19" ht="16.5" customHeight="1" x14ac:dyDescent="0.45">
      <c r="B38" s="240" t="s">
        <v>434</v>
      </c>
      <c r="C38" s="241">
        <v>30831</v>
      </c>
      <c r="D38" s="242">
        <v>2</v>
      </c>
      <c r="E38" s="256">
        <v>40227</v>
      </c>
      <c r="F38" s="243">
        <v>3416324</v>
      </c>
      <c r="G38" s="244">
        <v>43991021</v>
      </c>
      <c r="H38" s="243">
        <f t="shared" si="0"/>
        <v>47407345</v>
      </c>
      <c r="I38" s="242">
        <v>1</v>
      </c>
      <c r="J38" s="241">
        <v>40227</v>
      </c>
      <c r="M38" s="242" t="s">
        <v>93</v>
      </c>
      <c r="N38" s="242">
        <v>0</v>
      </c>
      <c r="O38" s="247"/>
      <c r="P38" s="242">
        <f t="shared" si="1"/>
        <v>0</v>
      </c>
      <c r="Q38" s="247"/>
      <c r="S38" s="246"/>
    </row>
    <row r="39" spans="2:19" ht="16.5" customHeight="1" x14ac:dyDescent="0.45">
      <c r="B39" s="240" t="s">
        <v>435</v>
      </c>
      <c r="C39" s="241">
        <v>31743</v>
      </c>
      <c r="D39" s="242">
        <v>2</v>
      </c>
      <c r="E39" s="256">
        <v>40429</v>
      </c>
      <c r="F39" s="243">
        <v>7730944.333333333</v>
      </c>
      <c r="G39" s="244">
        <v>95270651</v>
      </c>
      <c r="H39" s="243">
        <f t="shared" si="0"/>
        <v>103001595.33333333</v>
      </c>
      <c r="I39" s="242">
        <v>1</v>
      </c>
      <c r="J39" s="241">
        <v>40429</v>
      </c>
      <c r="M39" s="242" t="s">
        <v>93</v>
      </c>
      <c r="N39" s="242">
        <v>0</v>
      </c>
      <c r="O39" s="247"/>
      <c r="P39" s="242">
        <f t="shared" si="1"/>
        <v>0</v>
      </c>
      <c r="Q39" s="247"/>
      <c r="S39" s="246"/>
    </row>
    <row r="40" spans="2:19" ht="16.5" customHeight="1" x14ac:dyDescent="0.45">
      <c r="B40" s="240" t="s">
        <v>436</v>
      </c>
      <c r="C40" s="241">
        <v>29809</v>
      </c>
      <c r="D40" s="242">
        <v>1</v>
      </c>
      <c r="E40" s="256">
        <v>40546</v>
      </c>
      <c r="F40" s="243">
        <v>8384847.25</v>
      </c>
      <c r="G40" s="244">
        <v>100641139</v>
      </c>
      <c r="H40" s="243">
        <f t="shared" si="0"/>
        <v>109025986.25</v>
      </c>
      <c r="I40" s="242">
        <v>1</v>
      </c>
      <c r="J40" s="241">
        <v>40546</v>
      </c>
      <c r="M40" s="242" t="s">
        <v>93</v>
      </c>
      <c r="N40" s="242">
        <v>0</v>
      </c>
      <c r="O40" s="247"/>
      <c r="P40" s="242">
        <f t="shared" si="1"/>
        <v>0</v>
      </c>
      <c r="Q40" s="247"/>
      <c r="S40" s="246"/>
    </row>
    <row r="41" spans="2:19" ht="16.5" customHeight="1" x14ac:dyDescent="0.45">
      <c r="B41" s="240" t="s">
        <v>437</v>
      </c>
      <c r="C41" s="241">
        <v>30513</v>
      </c>
      <c r="D41" s="242">
        <v>1</v>
      </c>
      <c r="E41" s="256">
        <v>40644</v>
      </c>
      <c r="F41" s="243">
        <v>6888194.416666667</v>
      </c>
      <c r="G41" s="244">
        <v>80827772</v>
      </c>
      <c r="H41" s="243">
        <f t="shared" si="0"/>
        <v>87715966.416666672</v>
      </c>
      <c r="I41" s="242">
        <v>1</v>
      </c>
      <c r="J41" s="241">
        <v>40644</v>
      </c>
      <c r="M41" s="242" t="s">
        <v>93</v>
      </c>
      <c r="N41" s="242">
        <v>0</v>
      </c>
      <c r="O41" s="247"/>
      <c r="P41" s="242">
        <f t="shared" si="1"/>
        <v>0</v>
      </c>
      <c r="Q41" s="247"/>
      <c r="S41" s="246"/>
    </row>
    <row r="42" spans="2:19" ht="16.5" customHeight="1" x14ac:dyDescent="0.45">
      <c r="B42" s="240" t="s">
        <v>438</v>
      </c>
      <c r="C42" s="241">
        <v>30398</v>
      </c>
      <c r="D42" s="242">
        <v>1</v>
      </c>
      <c r="E42" s="256">
        <v>40644</v>
      </c>
      <c r="F42" s="243">
        <v>6821583.166666667</v>
      </c>
      <c r="G42" s="244">
        <v>80046139</v>
      </c>
      <c r="H42" s="243">
        <f t="shared" si="0"/>
        <v>86867722.166666672</v>
      </c>
      <c r="I42" s="242">
        <v>1</v>
      </c>
      <c r="J42" s="241">
        <v>40644</v>
      </c>
      <c r="M42" s="242" t="s">
        <v>93</v>
      </c>
      <c r="N42" s="242">
        <v>0</v>
      </c>
      <c r="O42" s="247"/>
      <c r="P42" s="242">
        <f t="shared" si="1"/>
        <v>0</v>
      </c>
      <c r="Q42" s="247"/>
      <c r="S42" s="246"/>
    </row>
    <row r="43" spans="2:19" ht="16.5" customHeight="1" x14ac:dyDescent="0.45">
      <c r="B43" s="240" t="s">
        <v>439</v>
      </c>
      <c r="C43" s="241">
        <v>31194</v>
      </c>
      <c r="D43" s="242">
        <v>1</v>
      </c>
      <c r="E43" s="256">
        <v>40644</v>
      </c>
      <c r="F43" s="243">
        <v>6951337.333333333</v>
      </c>
      <c r="G43" s="244">
        <v>81568706</v>
      </c>
      <c r="H43" s="243">
        <f t="shared" si="0"/>
        <v>88520043.333333328</v>
      </c>
      <c r="I43" s="242">
        <v>1</v>
      </c>
      <c r="J43" s="241">
        <v>40644</v>
      </c>
      <c r="M43" s="242" t="s">
        <v>93</v>
      </c>
      <c r="N43" s="242">
        <v>0</v>
      </c>
      <c r="O43" s="247"/>
      <c r="P43" s="242">
        <f t="shared" si="1"/>
        <v>0</v>
      </c>
      <c r="Q43" s="247"/>
      <c r="S43" s="246"/>
    </row>
    <row r="44" spans="2:19" ht="16.5" customHeight="1" x14ac:dyDescent="0.45">
      <c r="B44" s="240" t="s">
        <v>440</v>
      </c>
      <c r="C44" s="241">
        <v>31740</v>
      </c>
      <c r="D44" s="242">
        <v>1</v>
      </c>
      <c r="E44" s="256">
        <v>40644</v>
      </c>
      <c r="F44" s="243">
        <v>6915877.25</v>
      </c>
      <c r="G44" s="244">
        <v>81152609</v>
      </c>
      <c r="H44" s="243">
        <f t="shared" si="0"/>
        <v>88068486.25</v>
      </c>
      <c r="I44" s="242">
        <v>1</v>
      </c>
      <c r="J44" s="241">
        <v>40644</v>
      </c>
      <c r="M44" s="242" t="s">
        <v>93</v>
      </c>
      <c r="N44" s="242">
        <v>0</v>
      </c>
      <c r="O44" s="247"/>
      <c r="P44" s="242">
        <f t="shared" si="1"/>
        <v>0</v>
      </c>
      <c r="Q44" s="247"/>
      <c r="S44" s="246"/>
    </row>
    <row r="45" spans="2:19" ht="16.5" customHeight="1" x14ac:dyDescent="0.45">
      <c r="B45" s="240" t="s">
        <v>441</v>
      </c>
      <c r="C45" s="241">
        <v>30550</v>
      </c>
      <c r="D45" s="242">
        <v>1</v>
      </c>
      <c r="E45" s="256">
        <v>40644</v>
      </c>
      <c r="F45" s="243">
        <v>7142410.333333333</v>
      </c>
      <c r="G45" s="244">
        <v>83810804</v>
      </c>
      <c r="H45" s="243">
        <f t="shared" si="0"/>
        <v>90953214.333333328</v>
      </c>
      <c r="I45" s="242">
        <v>1</v>
      </c>
      <c r="J45" s="241">
        <v>40644</v>
      </c>
      <c r="M45" s="242" t="s">
        <v>93</v>
      </c>
      <c r="N45" s="242">
        <v>0</v>
      </c>
      <c r="O45" s="247"/>
      <c r="P45" s="242">
        <f t="shared" si="1"/>
        <v>0</v>
      </c>
      <c r="Q45" s="247"/>
      <c r="S45" s="246"/>
    </row>
    <row r="46" spans="2:19" ht="16.5" customHeight="1" x14ac:dyDescent="0.45">
      <c r="B46" s="240" t="s">
        <v>442</v>
      </c>
      <c r="C46" s="241">
        <v>32296</v>
      </c>
      <c r="D46" s="242">
        <v>2</v>
      </c>
      <c r="E46" s="256">
        <v>40644</v>
      </c>
      <c r="F46" s="243">
        <v>6797097.416666667</v>
      </c>
      <c r="G46" s="244">
        <v>79758817</v>
      </c>
      <c r="H46" s="243">
        <f t="shared" si="0"/>
        <v>86555914.416666672</v>
      </c>
      <c r="I46" s="242">
        <v>1</v>
      </c>
      <c r="J46" s="241">
        <v>40644</v>
      </c>
      <c r="M46" s="242" t="s">
        <v>93</v>
      </c>
      <c r="N46" s="242">
        <v>0</v>
      </c>
      <c r="O46" s="247"/>
      <c r="P46" s="242">
        <f t="shared" si="1"/>
        <v>0</v>
      </c>
      <c r="Q46" s="247"/>
      <c r="S46" s="246"/>
    </row>
    <row r="47" spans="2:19" ht="16.5" customHeight="1" x14ac:dyDescent="0.45">
      <c r="B47" s="240" t="s">
        <v>443</v>
      </c>
      <c r="C47" s="241">
        <v>31502</v>
      </c>
      <c r="D47" s="242">
        <v>2</v>
      </c>
      <c r="E47" s="256">
        <v>40645</v>
      </c>
      <c r="F47" s="243">
        <v>5925141.75</v>
      </c>
      <c r="G47" s="244">
        <v>65436291</v>
      </c>
      <c r="H47" s="243">
        <f t="shared" si="0"/>
        <v>71361432.75</v>
      </c>
      <c r="I47" s="242">
        <v>1</v>
      </c>
      <c r="J47" s="241">
        <v>40645</v>
      </c>
      <c r="M47" s="242" t="s">
        <v>93</v>
      </c>
      <c r="N47" s="242">
        <v>251</v>
      </c>
      <c r="O47" s="247"/>
      <c r="P47" s="242">
        <f t="shared" si="1"/>
        <v>0.68579234972677594</v>
      </c>
      <c r="Q47" s="247"/>
      <c r="S47" s="246"/>
    </row>
    <row r="48" spans="2:19" ht="16.5" customHeight="1" x14ac:dyDescent="0.45">
      <c r="B48" s="240" t="s">
        <v>444</v>
      </c>
      <c r="C48" s="241">
        <v>27192</v>
      </c>
      <c r="D48" s="242">
        <v>1</v>
      </c>
      <c r="E48" s="256">
        <v>40854</v>
      </c>
      <c r="F48" s="243">
        <v>8327326.666666667</v>
      </c>
      <c r="G48" s="244">
        <v>92923840</v>
      </c>
      <c r="H48" s="243">
        <f t="shared" si="0"/>
        <v>101251166.66666667</v>
      </c>
      <c r="I48" s="242">
        <v>1</v>
      </c>
      <c r="J48" s="241">
        <v>40854</v>
      </c>
      <c r="M48" s="242" t="s">
        <v>93</v>
      </c>
      <c r="N48" s="242">
        <v>0</v>
      </c>
      <c r="O48" s="247"/>
      <c r="P48" s="242">
        <f t="shared" si="1"/>
        <v>0</v>
      </c>
      <c r="Q48" s="247"/>
      <c r="S48" s="246"/>
    </row>
    <row r="49" spans="2:19" ht="16.5" customHeight="1" x14ac:dyDescent="0.45">
      <c r="B49" s="240" t="s">
        <v>445</v>
      </c>
      <c r="C49" s="241">
        <v>27015</v>
      </c>
      <c r="D49" s="242">
        <v>1</v>
      </c>
      <c r="E49" s="256">
        <v>38719</v>
      </c>
      <c r="F49" s="243">
        <v>10226571.583333334</v>
      </c>
      <c r="G49" s="244">
        <v>173935771</v>
      </c>
      <c r="H49" s="243">
        <f t="shared" si="0"/>
        <v>184162342.58333334</v>
      </c>
      <c r="I49" s="242">
        <v>1</v>
      </c>
      <c r="J49" s="241">
        <v>38719</v>
      </c>
      <c r="M49" s="242" t="s">
        <v>93</v>
      </c>
      <c r="N49" s="242">
        <v>0</v>
      </c>
      <c r="O49" s="247"/>
      <c r="P49" s="242">
        <f t="shared" si="1"/>
        <v>0</v>
      </c>
      <c r="Q49" s="247"/>
      <c r="S49" s="246"/>
    </row>
    <row r="50" spans="2:19" ht="16.5" customHeight="1" x14ac:dyDescent="0.45">
      <c r="B50" s="240" t="s">
        <v>446</v>
      </c>
      <c r="C50" s="241">
        <v>27463</v>
      </c>
      <c r="D50" s="242">
        <v>1</v>
      </c>
      <c r="E50" s="256">
        <v>37342</v>
      </c>
      <c r="F50" s="243">
        <v>10409000.166666666</v>
      </c>
      <c r="G50" s="244">
        <v>216307579</v>
      </c>
      <c r="H50" s="243">
        <f t="shared" si="0"/>
        <v>226716579.16666666</v>
      </c>
      <c r="I50" s="242">
        <v>1</v>
      </c>
      <c r="J50" s="241">
        <v>37342</v>
      </c>
      <c r="M50" s="242" t="s">
        <v>93</v>
      </c>
      <c r="N50" s="242">
        <v>0</v>
      </c>
      <c r="O50" s="247"/>
      <c r="P50" s="242">
        <f t="shared" si="1"/>
        <v>0</v>
      </c>
      <c r="Q50" s="247"/>
      <c r="S50" s="246"/>
    </row>
    <row r="51" spans="2:19" ht="16.5" customHeight="1" x14ac:dyDescent="0.45">
      <c r="B51" s="240" t="s">
        <v>447</v>
      </c>
      <c r="C51" s="241">
        <v>31775</v>
      </c>
      <c r="D51" s="242">
        <v>2</v>
      </c>
      <c r="E51" s="256">
        <v>41081</v>
      </c>
      <c r="F51" s="243">
        <v>3671758.6666666665</v>
      </c>
      <c r="G51" s="244">
        <v>37804025</v>
      </c>
      <c r="H51" s="243">
        <f t="shared" si="0"/>
        <v>41475783.666666664</v>
      </c>
      <c r="I51" s="242">
        <v>1</v>
      </c>
      <c r="J51" s="241">
        <v>41081</v>
      </c>
      <c r="M51" s="242" t="s">
        <v>93</v>
      </c>
      <c r="N51" s="242">
        <v>88</v>
      </c>
      <c r="O51" s="247"/>
      <c r="P51" s="242">
        <f t="shared" si="1"/>
        <v>0.24043715846994534</v>
      </c>
      <c r="Q51" s="247"/>
      <c r="S51" s="246"/>
    </row>
    <row r="52" spans="2:19" ht="16.5" customHeight="1" x14ac:dyDescent="0.45">
      <c r="B52" s="240" t="s">
        <v>448</v>
      </c>
      <c r="C52" s="241">
        <v>32442</v>
      </c>
      <c r="D52" s="242">
        <v>2</v>
      </c>
      <c r="E52" s="256">
        <v>41092</v>
      </c>
      <c r="F52" s="243">
        <v>4658147.333333333</v>
      </c>
      <c r="G52" s="244">
        <v>48942452</v>
      </c>
      <c r="H52" s="243">
        <f t="shared" si="0"/>
        <v>53600599.333333336</v>
      </c>
      <c r="I52" s="242">
        <v>1</v>
      </c>
      <c r="J52" s="241">
        <v>41092</v>
      </c>
      <c r="M52" s="242" t="s">
        <v>93</v>
      </c>
      <c r="N52" s="242">
        <v>0</v>
      </c>
      <c r="O52" s="247"/>
      <c r="P52" s="242">
        <f t="shared" si="1"/>
        <v>0</v>
      </c>
      <c r="Q52" s="247"/>
      <c r="S52" s="246"/>
    </row>
    <row r="53" spans="2:19" ht="16.5" customHeight="1" x14ac:dyDescent="0.45">
      <c r="B53" s="240" t="s">
        <v>449</v>
      </c>
      <c r="C53" s="241">
        <v>24660</v>
      </c>
      <c r="D53" s="242">
        <v>1</v>
      </c>
      <c r="E53" s="256">
        <v>37285</v>
      </c>
      <c r="F53" s="243">
        <v>23333340</v>
      </c>
      <c r="G53" s="244">
        <v>253561902</v>
      </c>
      <c r="H53" s="243">
        <f t="shared" si="0"/>
        <v>311895252</v>
      </c>
      <c r="I53" s="242">
        <v>3</v>
      </c>
      <c r="J53" s="241">
        <v>43157</v>
      </c>
      <c r="M53" s="242">
        <v>2.5</v>
      </c>
      <c r="N53" s="242">
        <v>0</v>
      </c>
      <c r="O53" s="247"/>
      <c r="P53" s="242">
        <f t="shared" si="1"/>
        <v>0</v>
      </c>
      <c r="Q53" s="247"/>
      <c r="S53" s="246"/>
    </row>
    <row r="54" spans="2:19" ht="16.5" customHeight="1" x14ac:dyDescent="0.45">
      <c r="B54" s="240" t="s">
        <v>450</v>
      </c>
      <c r="C54" s="241">
        <v>24845</v>
      </c>
      <c r="D54" s="242">
        <v>1</v>
      </c>
      <c r="E54" s="256">
        <v>41141</v>
      </c>
      <c r="F54" s="243">
        <v>17083340</v>
      </c>
      <c r="G54" s="244">
        <v>68333360</v>
      </c>
      <c r="H54" s="243">
        <f t="shared" si="0"/>
        <v>102500040</v>
      </c>
      <c r="I54" s="242">
        <v>3</v>
      </c>
      <c r="J54" s="241">
        <v>44197</v>
      </c>
      <c r="M54" s="242">
        <v>2</v>
      </c>
      <c r="N54" s="242">
        <v>0</v>
      </c>
      <c r="O54" s="247"/>
      <c r="P54" s="242">
        <f t="shared" si="1"/>
        <v>0</v>
      </c>
      <c r="Q54" s="247"/>
      <c r="S54" s="246"/>
    </row>
    <row r="55" spans="2:19" ht="16.5" customHeight="1" x14ac:dyDescent="0.45">
      <c r="B55" s="240" t="s">
        <v>451</v>
      </c>
      <c r="C55" s="241">
        <v>26987</v>
      </c>
      <c r="D55" s="242">
        <v>1</v>
      </c>
      <c r="E55" s="256">
        <v>37242</v>
      </c>
      <c r="F55" s="243">
        <v>9140063.583333334</v>
      </c>
      <c r="G55" s="244">
        <v>121199747</v>
      </c>
      <c r="H55" s="243">
        <f t="shared" si="0"/>
        <v>130339810.58333333</v>
      </c>
      <c r="I55" s="242">
        <v>1</v>
      </c>
      <c r="J55" s="241">
        <v>40087</v>
      </c>
      <c r="M55" s="242" t="s">
        <v>93</v>
      </c>
      <c r="N55" s="242">
        <v>0</v>
      </c>
      <c r="O55" s="247"/>
      <c r="P55" s="242">
        <f t="shared" si="1"/>
        <v>0</v>
      </c>
      <c r="Q55" s="247"/>
      <c r="S55" s="246"/>
    </row>
    <row r="56" spans="2:19" ht="16.5" customHeight="1" x14ac:dyDescent="0.45">
      <c r="B56" s="240" t="s">
        <v>452</v>
      </c>
      <c r="C56" s="241">
        <v>32403</v>
      </c>
      <c r="D56" s="242">
        <v>2</v>
      </c>
      <c r="E56" s="256">
        <v>41177</v>
      </c>
      <c r="F56" s="243">
        <v>10625852.833333334</v>
      </c>
      <c r="G56" s="244">
        <v>109169721</v>
      </c>
      <c r="H56" s="243">
        <f t="shared" si="0"/>
        <v>119795573.83333333</v>
      </c>
      <c r="I56" s="242">
        <v>1</v>
      </c>
      <c r="J56" s="241">
        <v>41177</v>
      </c>
      <c r="M56" s="242" t="s">
        <v>93</v>
      </c>
      <c r="N56" s="242">
        <v>0</v>
      </c>
      <c r="O56" s="247"/>
      <c r="P56" s="242">
        <f t="shared" si="1"/>
        <v>0</v>
      </c>
      <c r="Q56" s="247"/>
      <c r="S56" s="246"/>
    </row>
    <row r="57" spans="2:19" ht="16.5" customHeight="1" x14ac:dyDescent="0.45">
      <c r="B57" s="240" t="s">
        <v>453</v>
      </c>
      <c r="C57" s="241">
        <v>31211</v>
      </c>
      <c r="D57" s="242">
        <v>2</v>
      </c>
      <c r="E57" s="256">
        <v>41239</v>
      </c>
      <c r="F57" s="243">
        <v>4614047.083333333</v>
      </c>
      <c r="G57" s="244">
        <v>46620837</v>
      </c>
      <c r="H57" s="243">
        <f t="shared" si="0"/>
        <v>51234884.083333336</v>
      </c>
      <c r="I57" s="242">
        <v>1</v>
      </c>
      <c r="J57" s="241">
        <v>41239</v>
      </c>
      <c r="M57" s="242" t="s">
        <v>93</v>
      </c>
      <c r="N57" s="242">
        <v>0</v>
      </c>
      <c r="O57" s="247"/>
      <c r="P57" s="242">
        <f t="shared" si="1"/>
        <v>0</v>
      </c>
      <c r="Q57" s="247"/>
      <c r="S57" s="246"/>
    </row>
    <row r="58" spans="2:19" ht="16.5" customHeight="1" x14ac:dyDescent="0.45">
      <c r="B58" s="240" t="s">
        <v>454</v>
      </c>
      <c r="C58" s="241">
        <v>25927</v>
      </c>
      <c r="D58" s="242">
        <v>1</v>
      </c>
      <c r="E58" s="256">
        <v>37018</v>
      </c>
      <c r="F58" s="243">
        <v>9621557.75</v>
      </c>
      <c r="G58" s="244">
        <v>97032751</v>
      </c>
      <c r="H58" s="243">
        <f t="shared" si="0"/>
        <v>106654308.75</v>
      </c>
      <c r="I58" s="242">
        <v>1</v>
      </c>
      <c r="J58" s="241">
        <v>41246</v>
      </c>
      <c r="M58" s="242" t="s">
        <v>93</v>
      </c>
      <c r="N58" s="242">
        <v>0</v>
      </c>
      <c r="O58" s="247"/>
      <c r="P58" s="242">
        <f t="shared" si="1"/>
        <v>0</v>
      </c>
      <c r="Q58" s="247"/>
      <c r="S58" s="246"/>
    </row>
    <row r="59" spans="2:19" ht="16.5" customHeight="1" x14ac:dyDescent="0.45">
      <c r="B59" s="240" t="s">
        <v>455</v>
      </c>
      <c r="C59" s="241">
        <v>30327</v>
      </c>
      <c r="D59" s="242">
        <v>2</v>
      </c>
      <c r="E59" s="256">
        <v>41246</v>
      </c>
      <c r="F59" s="243">
        <v>3776978.3333333335</v>
      </c>
      <c r="G59" s="244">
        <v>38090568</v>
      </c>
      <c r="H59" s="243">
        <f t="shared" si="0"/>
        <v>41867546.333333336</v>
      </c>
      <c r="I59" s="242">
        <v>1</v>
      </c>
      <c r="J59" s="241">
        <v>41246</v>
      </c>
      <c r="M59" s="242" t="s">
        <v>93</v>
      </c>
      <c r="N59" s="242">
        <v>0</v>
      </c>
      <c r="O59" s="247"/>
      <c r="P59" s="242">
        <f t="shared" si="1"/>
        <v>0</v>
      </c>
      <c r="Q59" s="247"/>
      <c r="S59" s="246"/>
    </row>
    <row r="60" spans="2:19" ht="16.5" customHeight="1" x14ac:dyDescent="0.45">
      <c r="B60" s="240" t="s">
        <v>456</v>
      </c>
      <c r="C60" s="241">
        <v>27740</v>
      </c>
      <c r="D60" s="242">
        <v>2</v>
      </c>
      <c r="E60" s="256">
        <v>38261</v>
      </c>
      <c r="F60" s="243">
        <v>5146634.416666667</v>
      </c>
      <c r="G60" s="244">
        <v>93993055</v>
      </c>
      <c r="H60" s="243">
        <f t="shared" si="0"/>
        <v>99139689.416666672</v>
      </c>
      <c r="I60" s="242">
        <v>1</v>
      </c>
      <c r="J60" s="241">
        <v>38261</v>
      </c>
      <c r="M60" s="242" t="s">
        <v>93</v>
      </c>
      <c r="N60" s="242">
        <v>0</v>
      </c>
      <c r="O60" s="247"/>
      <c r="P60" s="242">
        <f t="shared" si="1"/>
        <v>0</v>
      </c>
      <c r="Q60" s="247"/>
      <c r="S60" s="246"/>
    </row>
    <row r="61" spans="2:19" ht="16.5" customHeight="1" x14ac:dyDescent="0.45">
      <c r="B61" s="240" t="s">
        <v>457</v>
      </c>
      <c r="C61" s="241">
        <v>30379</v>
      </c>
      <c r="D61" s="242">
        <v>2</v>
      </c>
      <c r="E61" s="256">
        <v>41277</v>
      </c>
      <c r="F61" s="243">
        <v>3092328</v>
      </c>
      <c r="G61" s="244">
        <v>30923280</v>
      </c>
      <c r="H61" s="243">
        <f t="shared" si="0"/>
        <v>34015608</v>
      </c>
      <c r="I61" s="242">
        <v>1</v>
      </c>
      <c r="J61" s="241">
        <v>41277</v>
      </c>
      <c r="M61" s="242" t="s">
        <v>93</v>
      </c>
      <c r="N61" s="242">
        <v>0</v>
      </c>
      <c r="O61" s="247"/>
      <c r="P61" s="242">
        <f t="shared" si="1"/>
        <v>0</v>
      </c>
      <c r="Q61" s="247"/>
      <c r="S61" s="246"/>
    </row>
    <row r="62" spans="2:19" ht="16.5" customHeight="1" x14ac:dyDescent="0.45">
      <c r="B62" s="240" t="s">
        <v>458</v>
      </c>
      <c r="C62" s="241">
        <v>28281</v>
      </c>
      <c r="D62" s="242">
        <v>1</v>
      </c>
      <c r="E62" s="256">
        <v>40854</v>
      </c>
      <c r="F62" s="243">
        <v>9984463.833333334</v>
      </c>
      <c r="G62" s="244">
        <v>111415675</v>
      </c>
      <c r="H62" s="243">
        <f t="shared" si="0"/>
        <v>121400138.83333333</v>
      </c>
      <c r="I62" s="242">
        <v>1</v>
      </c>
      <c r="J62" s="241">
        <v>40854</v>
      </c>
      <c r="M62" s="242" t="s">
        <v>93</v>
      </c>
      <c r="N62" s="242">
        <v>0</v>
      </c>
      <c r="O62" s="247"/>
      <c r="P62" s="242">
        <f t="shared" si="1"/>
        <v>0</v>
      </c>
      <c r="Q62" s="247"/>
      <c r="S62" s="246"/>
    </row>
    <row r="63" spans="2:19" ht="16.5" customHeight="1" x14ac:dyDescent="0.45">
      <c r="B63" s="240" t="s">
        <v>459</v>
      </c>
      <c r="C63" s="241">
        <v>27590</v>
      </c>
      <c r="D63" s="242">
        <v>1</v>
      </c>
      <c r="E63" s="256">
        <v>41323</v>
      </c>
      <c r="F63" s="243">
        <v>7240796.916666667</v>
      </c>
      <c r="G63" s="244">
        <v>71495430</v>
      </c>
      <c r="H63" s="243">
        <f t="shared" si="0"/>
        <v>78736226.916666672</v>
      </c>
      <c r="I63" s="242">
        <v>1</v>
      </c>
      <c r="J63" s="241">
        <v>41323</v>
      </c>
      <c r="M63" s="242" t="s">
        <v>93</v>
      </c>
      <c r="N63" s="242">
        <v>0</v>
      </c>
      <c r="O63" s="247"/>
      <c r="P63" s="242">
        <f t="shared" si="1"/>
        <v>0</v>
      </c>
      <c r="Q63" s="247"/>
      <c r="S63" s="246"/>
    </row>
    <row r="64" spans="2:19" ht="16.5" customHeight="1" x14ac:dyDescent="0.45">
      <c r="B64" s="240" t="s">
        <v>460</v>
      </c>
      <c r="C64" s="241">
        <v>31835</v>
      </c>
      <c r="D64" s="242">
        <v>2</v>
      </c>
      <c r="E64" s="256">
        <v>41330</v>
      </c>
      <c r="F64" s="243">
        <v>4624210.333333333</v>
      </c>
      <c r="G64" s="244">
        <v>45570643</v>
      </c>
      <c r="H64" s="243">
        <f t="shared" si="0"/>
        <v>50194853.333333336</v>
      </c>
      <c r="I64" s="242">
        <v>1</v>
      </c>
      <c r="J64" s="241">
        <v>41330</v>
      </c>
      <c r="M64" s="242" t="s">
        <v>93</v>
      </c>
      <c r="N64" s="242">
        <v>0</v>
      </c>
      <c r="O64" s="247"/>
      <c r="P64" s="242">
        <f t="shared" si="1"/>
        <v>0</v>
      </c>
      <c r="Q64" s="247"/>
      <c r="S64" s="246"/>
    </row>
    <row r="65" spans="2:19" ht="16.5" customHeight="1" x14ac:dyDescent="0.45">
      <c r="B65" s="240" t="s">
        <v>461</v>
      </c>
      <c r="C65" s="241">
        <v>32924</v>
      </c>
      <c r="D65" s="242">
        <v>2</v>
      </c>
      <c r="E65" s="256">
        <v>41277</v>
      </c>
      <c r="F65" s="243">
        <v>7873682.5</v>
      </c>
      <c r="G65" s="244">
        <v>78736825</v>
      </c>
      <c r="H65" s="243">
        <f t="shared" si="0"/>
        <v>86610507.5</v>
      </c>
      <c r="I65" s="242">
        <v>1</v>
      </c>
      <c r="J65" s="241">
        <v>41277</v>
      </c>
      <c r="M65" s="242" t="s">
        <v>93</v>
      </c>
      <c r="N65" s="242">
        <v>0</v>
      </c>
      <c r="O65" s="247"/>
      <c r="P65" s="242">
        <f t="shared" si="1"/>
        <v>0</v>
      </c>
      <c r="Q65" s="247"/>
      <c r="S65" s="246"/>
    </row>
    <row r="66" spans="2:19" ht="16.5" customHeight="1" x14ac:dyDescent="0.45">
      <c r="B66" s="240" t="s">
        <v>462</v>
      </c>
      <c r="C66" s="241">
        <v>29690</v>
      </c>
      <c r="D66" s="242">
        <v>2</v>
      </c>
      <c r="E66" s="256">
        <v>41346</v>
      </c>
      <c r="F66" s="243">
        <v>4552258</v>
      </c>
      <c r="G66" s="244">
        <v>43215271</v>
      </c>
      <c r="H66" s="243">
        <f t="shared" si="0"/>
        <v>47767529</v>
      </c>
      <c r="I66" s="242">
        <v>1</v>
      </c>
      <c r="J66" s="241">
        <v>41346</v>
      </c>
      <c r="M66" s="242" t="s">
        <v>93</v>
      </c>
      <c r="N66" s="242">
        <v>116</v>
      </c>
      <c r="O66" s="247"/>
      <c r="P66" s="242">
        <f t="shared" si="1"/>
        <v>0.31693989071038253</v>
      </c>
      <c r="Q66" s="247"/>
      <c r="S66" s="246"/>
    </row>
    <row r="67" spans="2:19" ht="16.5" customHeight="1" x14ac:dyDescent="0.45">
      <c r="B67" s="240" t="s">
        <v>463</v>
      </c>
      <c r="C67" s="241">
        <v>27454</v>
      </c>
      <c r="D67" s="242">
        <v>1</v>
      </c>
      <c r="E67" s="256">
        <v>41379</v>
      </c>
      <c r="F67" s="243">
        <v>8855752.916666666</v>
      </c>
      <c r="G67" s="244">
        <v>86082771</v>
      </c>
      <c r="H67" s="243">
        <f t="shared" ref="H67:H130" si="2">IF(I67=3,G67+F67*M67,G67+F67)</f>
        <v>94938523.916666672</v>
      </c>
      <c r="I67" s="242">
        <v>1</v>
      </c>
      <c r="J67" s="241">
        <v>41379</v>
      </c>
      <c r="M67" s="242" t="s">
        <v>93</v>
      </c>
      <c r="N67" s="242">
        <v>0</v>
      </c>
      <c r="O67" s="247"/>
      <c r="P67" s="242">
        <f t="shared" ref="P67:P130" si="3">N67/366</f>
        <v>0</v>
      </c>
      <c r="Q67" s="247"/>
      <c r="S67" s="246"/>
    </row>
    <row r="68" spans="2:19" ht="16.5" customHeight="1" x14ac:dyDescent="0.45">
      <c r="B68" s="240" t="s">
        <v>464</v>
      </c>
      <c r="C68" s="241">
        <v>32538</v>
      </c>
      <c r="D68" s="242">
        <v>2</v>
      </c>
      <c r="E68" s="256">
        <v>41415</v>
      </c>
      <c r="F68" s="243">
        <v>4696894.333333333</v>
      </c>
      <c r="G68" s="244">
        <v>45193131</v>
      </c>
      <c r="H68" s="243">
        <f t="shared" si="2"/>
        <v>49890025.333333336</v>
      </c>
      <c r="I68" s="242">
        <v>1</v>
      </c>
      <c r="J68" s="241">
        <v>41415</v>
      </c>
      <c r="M68" s="242" t="s">
        <v>93</v>
      </c>
      <c r="N68" s="242">
        <v>0</v>
      </c>
      <c r="O68" s="247"/>
      <c r="P68" s="242">
        <f t="shared" si="3"/>
        <v>0</v>
      </c>
      <c r="Q68" s="247"/>
      <c r="S68" s="246"/>
    </row>
    <row r="69" spans="2:19" ht="16.5" customHeight="1" x14ac:dyDescent="0.45">
      <c r="B69" s="240" t="s">
        <v>465</v>
      </c>
      <c r="C69" s="241">
        <v>30790</v>
      </c>
      <c r="D69" s="242">
        <v>1</v>
      </c>
      <c r="E69" s="256">
        <v>41438</v>
      </c>
      <c r="F69" s="243">
        <v>5855618.916666667</v>
      </c>
      <c r="G69" s="244">
        <v>55973300</v>
      </c>
      <c r="H69" s="243">
        <f t="shared" si="2"/>
        <v>61828918.916666664</v>
      </c>
      <c r="I69" s="242">
        <v>1</v>
      </c>
      <c r="J69" s="241">
        <v>41438</v>
      </c>
      <c r="M69" s="242" t="s">
        <v>93</v>
      </c>
      <c r="N69" s="242">
        <v>0</v>
      </c>
      <c r="O69" s="247"/>
      <c r="P69" s="242">
        <f t="shared" si="3"/>
        <v>0</v>
      </c>
      <c r="Q69" s="247"/>
      <c r="S69" s="246"/>
    </row>
    <row r="70" spans="2:19" ht="16.5" customHeight="1" x14ac:dyDescent="0.45">
      <c r="B70" s="240" t="s">
        <v>466</v>
      </c>
      <c r="C70" s="241">
        <v>26360</v>
      </c>
      <c r="D70" s="242">
        <v>1</v>
      </c>
      <c r="E70" s="256">
        <v>41487</v>
      </c>
      <c r="F70" s="243">
        <v>18681957.333333332</v>
      </c>
      <c r="G70" s="244">
        <v>176071050</v>
      </c>
      <c r="H70" s="243">
        <f t="shared" si="2"/>
        <v>194753007.33333334</v>
      </c>
      <c r="I70" s="242">
        <v>1</v>
      </c>
      <c r="J70" s="241">
        <v>41487</v>
      </c>
      <c r="M70" s="242" t="s">
        <v>93</v>
      </c>
      <c r="N70" s="242">
        <v>0</v>
      </c>
      <c r="O70" s="247"/>
      <c r="P70" s="242">
        <f t="shared" si="3"/>
        <v>0</v>
      </c>
      <c r="Q70" s="247"/>
      <c r="S70" s="246"/>
    </row>
    <row r="71" spans="2:19" ht="16.5" customHeight="1" x14ac:dyDescent="0.45">
      <c r="B71" s="240" t="s">
        <v>467</v>
      </c>
      <c r="C71" s="241">
        <v>31434</v>
      </c>
      <c r="D71" s="242">
        <v>2</v>
      </c>
      <c r="E71" s="256">
        <v>41487</v>
      </c>
      <c r="F71" s="243">
        <v>7863262.583333333</v>
      </c>
      <c r="G71" s="244">
        <v>74108557</v>
      </c>
      <c r="H71" s="243">
        <f t="shared" si="2"/>
        <v>81971819.583333328</v>
      </c>
      <c r="I71" s="242">
        <v>1</v>
      </c>
      <c r="J71" s="241">
        <v>41487</v>
      </c>
      <c r="M71" s="242" t="s">
        <v>93</v>
      </c>
      <c r="N71" s="242">
        <v>0</v>
      </c>
      <c r="O71" s="247"/>
      <c r="P71" s="242">
        <f t="shared" si="3"/>
        <v>0</v>
      </c>
      <c r="Q71" s="247"/>
      <c r="S71" s="246"/>
    </row>
    <row r="72" spans="2:19" ht="16.5" customHeight="1" x14ac:dyDescent="0.45">
      <c r="B72" s="240" t="s">
        <v>468</v>
      </c>
      <c r="C72" s="241">
        <v>32715</v>
      </c>
      <c r="D72" s="242">
        <v>2</v>
      </c>
      <c r="E72" s="256">
        <v>41491</v>
      </c>
      <c r="F72" s="243">
        <v>4739893.833333333</v>
      </c>
      <c r="G72" s="244">
        <v>44619932</v>
      </c>
      <c r="H72" s="243">
        <f t="shared" si="2"/>
        <v>49359825.833333336</v>
      </c>
      <c r="I72" s="242">
        <v>1</v>
      </c>
      <c r="J72" s="241">
        <v>41491</v>
      </c>
      <c r="M72" s="242" t="s">
        <v>93</v>
      </c>
      <c r="N72" s="242">
        <v>0</v>
      </c>
      <c r="O72" s="247"/>
      <c r="P72" s="242">
        <f t="shared" si="3"/>
        <v>0</v>
      </c>
      <c r="Q72" s="247"/>
      <c r="S72" s="246"/>
    </row>
    <row r="73" spans="2:19" ht="16.5" customHeight="1" x14ac:dyDescent="0.45">
      <c r="B73" s="240" t="s">
        <v>469</v>
      </c>
      <c r="C73" s="241">
        <v>32120</v>
      </c>
      <c r="D73" s="242">
        <v>2</v>
      </c>
      <c r="E73" s="256">
        <v>41491</v>
      </c>
      <c r="F73" s="243">
        <v>6977753</v>
      </c>
      <c r="G73" s="244">
        <v>65686464</v>
      </c>
      <c r="H73" s="243">
        <f t="shared" si="2"/>
        <v>72664217</v>
      </c>
      <c r="I73" s="242">
        <v>1</v>
      </c>
      <c r="J73" s="241">
        <v>41491</v>
      </c>
      <c r="M73" s="242" t="s">
        <v>93</v>
      </c>
      <c r="N73" s="242">
        <v>0</v>
      </c>
      <c r="O73" s="247"/>
      <c r="P73" s="242">
        <f t="shared" si="3"/>
        <v>0</v>
      </c>
      <c r="Q73" s="247"/>
      <c r="S73" s="246"/>
    </row>
    <row r="74" spans="2:19" ht="16.5" customHeight="1" x14ac:dyDescent="0.45">
      <c r="B74" s="240" t="s">
        <v>470</v>
      </c>
      <c r="C74" s="241">
        <v>31443</v>
      </c>
      <c r="D74" s="242">
        <v>2</v>
      </c>
      <c r="E74" s="256">
        <v>41549</v>
      </c>
      <c r="F74" s="243">
        <v>3120551</v>
      </c>
      <c r="G74" s="244">
        <v>28880058</v>
      </c>
      <c r="H74" s="243">
        <f t="shared" si="2"/>
        <v>32000609</v>
      </c>
      <c r="I74" s="242">
        <v>1</v>
      </c>
      <c r="J74" s="241">
        <v>41549</v>
      </c>
      <c r="M74" s="242" t="s">
        <v>93</v>
      </c>
      <c r="N74" s="242">
        <v>0</v>
      </c>
      <c r="O74" s="247"/>
      <c r="P74" s="242">
        <f t="shared" si="3"/>
        <v>0</v>
      </c>
      <c r="Q74" s="247"/>
      <c r="S74" s="246"/>
    </row>
    <row r="75" spans="2:19" ht="16.5" customHeight="1" x14ac:dyDescent="0.45">
      <c r="B75" s="240" t="s">
        <v>471</v>
      </c>
      <c r="C75" s="241">
        <v>31567</v>
      </c>
      <c r="D75" s="242">
        <v>2</v>
      </c>
      <c r="E75" s="256">
        <v>41549</v>
      </c>
      <c r="F75" s="243">
        <v>4620762.416666667</v>
      </c>
      <c r="G75" s="244">
        <v>42764207</v>
      </c>
      <c r="H75" s="243">
        <f t="shared" si="2"/>
        <v>47384969.416666664</v>
      </c>
      <c r="I75" s="242">
        <v>1</v>
      </c>
      <c r="J75" s="241">
        <v>41549</v>
      </c>
      <c r="M75" s="242" t="s">
        <v>93</v>
      </c>
      <c r="N75" s="242">
        <v>0</v>
      </c>
      <c r="O75" s="247"/>
      <c r="P75" s="242">
        <f t="shared" si="3"/>
        <v>0</v>
      </c>
      <c r="Q75" s="247"/>
      <c r="S75" s="246"/>
    </row>
    <row r="76" spans="2:19" ht="16.5" customHeight="1" x14ac:dyDescent="0.45">
      <c r="B76" s="240" t="s">
        <v>472</v>
      </c>
      <c r="C76" s="241">
        <v>31008</v>
      </c>
      <c r="D76" s="242">
        <v>1</v>
      </c>
      <c r="E76" s="256">
        <v>41576</v>
      </c>
      <c r="F76" s="243">
        <v>7911848.416666667</v>
      </c>
      <c r="G76" s="244">
        <v>72637271</v>
      </c>
      <c r="H76" s="243">
        <f t="shared" si="2"/>
        <v>80549119.416666672</v>
      </c>
      <c r="I76" s="242">
        <v>1</v>
      </c>
      <c r="J76" s="241">
        <v>41576</v>
      </c>
      <c r="M76" s="242" t="s">
        <v>93</v>
      </c>
      <c r="N76" s="242">
        <v>0</v>
      </c>
      <c r="O76" s="247"/>
      <c r="P76" s="242">
        <f t="shared" si="3"/>
        <v>0</v>
      </c>
      <c r="Q76" s="247"/>
      <c r="S76" s="246"/>
    </row>
    <row r="77" spans="2:19" ht="16.5" customHeight="1" x14ac:dyDescent="0.45">
      <c r="B77" s="240" t="s">
        <v>473</v>
      </c>
      <c r="C77" s="241">
        <v>30730</v>
      </c>
      <c r="D77" s="242">
        <v>2</v>
      </c>
      <c r="E77" s="256">
        <v>41579</v>
      </c>
      <c r="F77" s="243">
        <v>3173665.4166666665</v>
      </c>
      <c r="G77" s="244">
        <v>29110772</v>
      </c>
      <c r="H77" s="243">
        <f t="shared" si="2"/>
        <v>32284437.416666668</v>
      </c>
      <c r="I77" s="242">
        <v>1</v>
      </c>
      <c r="J77" s="241">
        <v>41579</v>
      </c>
      <c r="M77" s="242" t="s">
        <v>93</v>
      </c>
      <c r="N77" s="242">
        <v>0</v>
      </c>
      <c r="O77" s="247"/>
      <c r="P77" s="242">
        <f t="shared" si="3"/>
        <v>0</v>
      </c>
      <c r="Q77" s="247"/>
      <c r="S77" s="246"/>
    </row>
    <row r="78" spans="2:19" ht="16.5" customHeight="1" x14ac:dyDescent="0.45">
      <c r="B78" s="240" t="s">
        <v>474</v>
      </c>
      <c r="C78" s="241">
        <v>28320</v>
      </c>
      <c r="D78" s="242">
        <v>1</v>
      </c>
      <c r="E78" s="256">
        <v>41596</v>
      </c>
      <c r="F78" s="243">
        <v>9745450.25</v>
      </c>
      <c r="G78" s="244">
        <v>88937246</v>
      </c>
      <c r="H78" s="243">
        <f t="shared" si="2"/>
        <v>98682696.25</v>
      </c>
      <c r="I78" s="242">
        <v>1</v>
      </c>
      <c r="J78" s="241">
        <v>41596</v>
      </c>
      <c r="M78" s="242" t="s">
        <v>93</v>
      </c>
      <c r="N78" s="242">
        <v>0</v>
      </c>
      <c r="O78" s="247"/>
      <c r="P78" s="242">
        <f t="shared" si="3"/>
        <v>0</v>
      </c>
      <c r="Q78" s="247"/>
      <c r="S78" s="246"/>
    </row>
    <row r="79" spans="2:19" ht="16.5" customHeight="1" x14ac:dyDescent="0.45">
      <c r="B79" s="240" t="s">
        <v>475</v>
      </c>
      <c r="C79" s="241">
        <v>27965</v>
      </c>
      <c r="D79" s="242">
        <v>1</v>
      </c>
      <c r="E79" s="256">
        <v>41634</v>
      </c>
      <c r="F79" s="243">
        <v>7756981.25</v>
      </c>
      <c r="G79" s="244">
        <v>69982847</v>
      </c>
      <c r="H79" s="243">
        <f t="shared" si="2"/>
        <v>77739828.25</v>
      </c>
      <c r="I79" s="242">
        <v>1</v>
      </c>
      <c r="J79" s="241">
        <v>41634</v>
      </c>
      <c r="M79" s="242" t="s">
        <v>93</v>
      </c>
      <c r="N79" s="242">
        <v>0</v>
      </c>
      <c r="O79" s="247"/>
      <c r="P79" s="242">
        <f t="shared" si="3"/>
        <v>0</v>
      </c>
      <c r="Q79" s="247"/>
      <c r="S79" s="246"/>
    </row>
    <row r="80" spans="2:19" ht="16.5" customHeight="1" x14ac:dyDescent="0.45">
      <c r="B80" s="240" t="s">
        <v>476</v>
      </c>
      <c r="C80" s="241">
        <v>29995</v>
      </c>
      <c r="D80" s="242">
        <v>1</v>
      </c>
      <c r="E80" s="256">
        <v>41661</v>
      </c>
      <c r="F80" s="243">
        <v>7086607.333333333</v>
      </c>
      <c r="G80" s="244">
        <v>63410574</v>
      </c>
      <c r="H80" s="243">
        <f t="shared" si="2"/>
        <v>70497181.333333328</v>
      </c>
      <c r="I80" s="242">
        <v>1</v>
      </c>
      <c r="J80" s="241">
        <v>41661</v>
      </c>
      <c r="M80" s="242" t="s">
        <v>93</v>
      </c>
      <c r="N80" s="242">
        <v>0</v>
      </c>
      <c r="O80" s="247"/>
      <c r="P80" s="242">
        <f t="shared" si="3"/>
        <v>0</v>
      </c>
      <c r="Q80" s="247"/>
      <c r="S80" s="246"/>
    </row>
    <row r="81" spans="2:19" ht="16.5" customHeight="1" x14ac:dyDescent="0.45">
      <c r="B81" s="240" t="s">
        <v>477</v>
      </c>
      <c r="C81" s="241">
        <v>31523</v>
      </c>
      <c r="D81" s="242">
        <v>2</v>
      </c>
      <c r="E81" s="256">
        <v>41702</v>
      </c>
      <c r="F81" s="243">
        <v>5599593</v>
      </c>
      <c r="G81" s="244">
        <v>49475856</v>
      </c>
      <c r="H81" s="243">
        <f t="shared" si="2"/>
        <v>55075449</v>
      </c>
      <c r="I81" s="242">
        <v>1</v>
      </c>
      <c r="J81" s="241">
        <v>41702</v>
      </c>
      <c r="M81" s="242" t="s">
        <v>93</v>
      </c>
      <c r="N81" s="242">
        <v>0</v>
      </c>
      <c r="O81" s="247"/>
      <c r="P81" s="242">
        <f t="shared" si="3"/>
        <v>0</v>
      </c>
      <c r="Q81" s="247"/>
      <c r="S81" s="246"/>
    </row>
    <row r="82" spans="2:19" ht="16.5" customHeight="1" x14ac:dyDescent="0.45">
      <c r="B82" s="240" t="s">
        <v>478</v>
      </c>
      <c r="C82" s="241">
        <v>32816</v>
      </c>
      <c r="D82" s="242">
        <v>2</v>
      </c>
      <c r="E82" s="256">
        <v>41645</v>
      </c>
      <c r="F82" s="243">
        <v>10014400.166666666</v>
      </c>
      <c r="G82" s="244">
        <v>90047291</v>
      </c>
      <c r="H82" s="243">
        <f t="shared" si="2"/>
        <v>100061691.16666667</v>
      </c>
      <c r="I82" s="242">
        <v>1</v>
      </c>
      <c r="J82" s="241">
        <v>41645</v>
      </c>
      <c r="M82" s="242" t="s">
        <v>93</v>
      </c>
      <c r="N82" s="242">
        <v>0</v>
      </c>
      <c r="O82" s="247"/>
      <c r="P82" s="242">
        <f t="shared" si="3"/>
        <v>0</v>
      </c>
      <c r="Q82" s="247"/>
      <c r="S82" s="246"/>
    </row>
    <row r="83" spans="2:19" ht="16.5" customHeight="1" x14ac:dyDescent="0.45">
      <c r="B83" s="240" t="s">
        <v>479</v>
      </c>
      <c r="C83" s="241">
        <v>32797</v>
      </c>
      <c r="D83" s="242">
        <v>2</v>
      </c>
      <c r="E83" s="256">
        <v>41645</v>
      </c>
      <c r="F83" s="243">
        <v>9475607.916666666</v>
      </c>
      <c r="G83" s="244">
        <v>85202590</v>
      </c>
      <c r="H83" s="243">
        <f t="shared" si="2"/>
        <v>94678197.916666672</v>
      </c>
      <c r="I83" s="242">
        <v>1</v>
      </c>
      <c r="J83" s="241">
        <v>41645</v>
      </c>
      <c r="M83" s="242" t="s">
        <v>93</v>
      </c>
      <c r="N83" s="242">
        <v>0</v>
      </c>
      <c r="O83" s="247"/>
      <c r="P83" s="242">
        <f t="shared" si="3"/>
        <v>0</v>
      </c>
      <c r="Q83" s="247"/>
      <c r="S83" s="246"/>
    </row>
    <row r="84" spans="2:19" ht="16.5" customHeight="1" x14ac:dyDescent="0.45">
      <c r="B84" s="240" t="s">
        <v>480</v>
      </c>
      <c r="C84" s="241">
        <v>31940</v>
      </c>
      <c r="D84" s="242">
        <v>1</v>
      </c>
      <c r="E84" s="256">
        <v>41645</v>
      </c>
      <c r="F84" s="243">
        <v>7879805.083333333</v>
      </c>
      <c r="G84" s="244">
        <v>70853480</v>
      </c>
      <c r="H84" s="243">
        <f t="shared" si="2"/>
        <v>78733285.083333328</v>
      </c>
      <c r="I84" s="242">
        <v>1</v>
      </c>
      <c r="J84" s="241">
        <v>41645</v>
      </c>
      <c r="M84" s="242" t="s">
        <v>93</v>
      </c>
      <c r="N84" s="242">
        <v>0</v>
      </c>
      <c r="O84" s="247"/>
      <c r="P84" s="242">
        <f t="shared" si="3"/>
        <v>0</v>
      </c>
      <c r="Q84" s="247"/>
      <c r="S84" s="246"/>
    </row>
    <row r="85" spans="2:19" ht="16.5" customHeight="1" x14ac:dyDescent="0.45">
      <c r="B85" s="240" t="s">
        <v>481</v>
      </c>
      <c r="C85" s="241">
        <v>27458</v>
      </c>
      <c r="D85" s="242">
        <v>1</v>
      </c>
      <c r="E85" s="256">
        <v>36703</v>
      </c>
      <c r="F85" s="243">
        <v>12931942.166666666</v>
      </c>
      <c r="G85" s="244">
        <v>167123209</v>
      </c>
      <c r="H85" s="243">
        <f t="shared" si="2"/>
        <v>180055151.16666666</v>
      </c>
      <c r="I85" s="242">
        <v>1</v>
      </c>
      <c r="J85" s="241">
        <v>40210</v>
      </c>
      <c r="M85" s="242" t="s">
        <v>93</v>
      </c>
      <c r="N85" s="242">
        <v>0</v>
      </c>
      <c r="O85" s="247"/>
      <c r="P85" s="242">
        <f t="shared" si="3"/>
        <v>0</v>
      </c>
      <c r="Q85" s="247"/>
      <c r="S85" s="246"/>
    </row>
    <row r="86" spans="2:19" ht="16.5" customHeight="1" x14ac:dyDescent="0.45">
      <c r="B86" s="240" t="s">
        <v>482</v>
      </c>
      <c r="C86" s="241">
        <v>28672</v>
      </c>
      <c r="D86" s="242">
        <v>2</v>
      </c>
      <c r="E86" s="256">
        <v>38889</v>
      </c>
      <c r="F86" s="243">
        <v>9790180.25</v>
      </c>
      <c r="G86" s="244">
        <v>160424844</v>
      </c>
      <c r="H86" s="243">
        <f t="shared" si="2"/>
        <v>170215024.25</v>
      </c>
      <c r="I86" s="242">
        <v>1</v>
      </c>
      <c r="J86" s="241">
        <v>38889</v>
      </c>
      <c r="M86" s="242" t="s">
        <v>93</v>
      </c>
      <c r="N86" s="242">
        <v>57</v>
      </c>
      <c r="O86" s="247"/>
      <c r="P86" s="242">
        <f t="shared" si="3"/>
        <v>0.15573770491803279</v>
      </c>
      <c r="Q86" s="247"/>
      <c r="S86" s="246"/>
    </row>
    <row r="87" spans="2:19" ht="16.5" customHeight="1" x14ac:dyDescent="0.45">
      <c r="B87" s="240" t="s">
        <v>483</v>
      </c>
      <c r="C87" s="241">
        <v>30983</v>
      </c>
      <c r="D87" s="242">
        <v>2</v>
      </c>
      <c r="E87" s="256">
        <v>41878</v>
      </c>
      <c r="F87" s="243">
        <v>5196933.166666667</v>
      </c>
      <c r="G87" s="244">
        <v>43412190</v>
      </c>
      <c r="H87" s="243">
        <f t="shared" si="2"/>
        <v>48609123.166666664</v>
      </c>
      <c r="I87" s="242">
        <v>1</v>
      </c>
      <c r="J87" s="241">
        <v>41878</v>
      </c>
      <c r="M87" s="242" t="s">
        <v>93</v>
      </c>
      <c r="N87" s="242">
        <v>0</v>
      </c>
      <c r="O87" s="247"/>
      <c r="P87" s="242">
        <f t="shared" si="3"/>
        <v>0</v>
      </c>
      <c r="Q87" s="247"/>
      <c r="S87" s="246"/>
    </row>
    <row r="88" spans="2:19" ht="16.5" customHeight="1" x14ac:dyDescent="0.45">
      <c r="B88" s="240" t="s">
        <v>484</v>
      </c>
      <c r="C88" s="241">
        <v>26299</v>
      </c>
      <c r="D88" s="242">
        <v>1</v>
      </c>
      <c r="E88" s="256">
        <v>41974</v>
      </c>
      <c r="F88" s="243">
        <v>45333340</v>
      </c>
      <c r="G88" s="244">
        <v>1208133512</v>
      </c>
      <c r="H88" s="243">
        <f t="shared" si="2"/>
        <v>1389466872</v>
      </c>
      <c r="I88" s="242">
        <v>3</v>
      </c>
      <c r="J88" s="241">
        <v>41974</v>
      </c>
      <c r="M88" s="242">
        <v>4</v>
      </c>
      <c r="N88" s="242">
        <v>0</v>
      </c>
      <c r="O88" s="247"/>
      <c r="P88" s="242">
        <f t="shared" si="3"/>
        <v>0</v>
      </c>
      <c r="Q88" s="247"/>
      <c r="S88" s="246"/>
    </row>
    <row r="89" spans="2:19" ht="16.5" customHeight="1" x14ac:dyDescent="0.45">
      <c r="B89" s="240" t="s">
        <v>485</v>
      </c>
      <c r="C89" s="241">
        <v>28135</v>
      </c>
      <c r="D89" s="242">
        <v>1</v>
      </c>
      <c r="E89" s="256">
        <v>42003</v>
      </c>
      <c r="F89" s="243">
        <v>6497229.5</v>
      </c>
      <c r="G89" s="244">
        <v>52049039</v>
      </c>
      <c r="H89" s="243">
        <f t="shared" si="2"/>
        <v>58546268.5</v>
      </c>
      <c r="I89" s="242">
        <v>1</v>
      </c>
      <c r="J89" s="241">
        <v>42003</v>
      </c>
      <c r="M89" s="242" t="s">
        <v>93</v>
      </c>
      <c r="N89" s="242">
        <v>0</v>
      </c>
      <c r="O89" s="247"/>
      <c r="P89" s="242">
        <f t="shared" si="3"/>
        <v>0</v>
      </c>
      <c r="Q89" s="247"/>
      <c r="S89" s="246"/>
    </row>
    <row r="90" spans="2:19" ht="16.5" customHeight="1" x14ac:dyDescent="0.45">
      <c r="B90" s="240" t="s">
        <v>486</v>
      </c>
      <c r="C90" s="241">
        <v>30059</v>
      </c>
      <c r="D90" s="242">
        <v>1</v>
      </c>
      <c r="E90" s="256">
        <v>42003</v>
      </c>
      <c r="F90" s="243">
        <v>5482366.5</v>
      </c>
      <c r="G90" s="244">
        <v>43919013</v>
      </c>
      <c r="H90" s="243">
        <f t="shared" si="2"/>
        <v>49401379.5</v>
      </c>
      <c r="I90" s="242">
        <v>1</v>
      </c>
      <c r="J90" s="241">
        <v>42003</v>
      </c>
      <c r="M90" s="242" t="s">
        <v>93</v>
      </c>
      <c r="N90" s="242">
        <v>0</v>
      </c>
      <c r="O90" s="247"/>
      <c r="P90" s="242">
        <f t="shared" si="3"/>
        <v>0</v>
      </c>
      <c r="Q90" s="247"/>
      <c r="S90" s="246"/>
    </row>
    <row r="91" spans="2:19" ht="16.5" customHeight="1" x14ac:dyDescent="0.45">
      <c r="B91" s="240" t="s">
        <v>487</v>
      </c>
      <c r="C91" s="241">
        <v>32640</v>
      </c>
      <c r="D91" s="242">
        <v>1</v>
      </c>
      <c r="E91" s="256">
        <v>42013</v>
      </c>
      <c r="F91" s="243">
        <v>7702864.166666667</v>
      </c>
      <c r="G91" s="244">
        <v>61496291</v>
      </c>
      <c r="H91" s="243">
        <f t="shared" si="2"/>
        <v>69199155.166666672</v>
      </c>
      <c r="I91" s="242">
        <v>1</v>
      </c>
      <c r="J91" s="241">
        <v>42013</v>
      </c>
      <c r="M91" s="242" t="s">
        <v>93</v>
      </c>
      <c r="N91" s="242">
        <v>0</v>
      </c>
      <c r="O91" s="247"/>
      <c r="P91" s="242">
        <f t="shared" si="3"/>
        <v>0</v>
      </c>
      <c r="Q91" s="247"/>
      <c r="S91" s="246"/>
    </row>
    <row r="92" spans="2:19" ht="16.5" customHeight="1" x14ac:dyDescent="0.45">
      <c r="B92" s="240" t="s">
        <v>488</v>
      </c>
      <c r="C92" s="241">
        <v>32864</v>
      </c>
      <c r="D92" s="242">
        <v>2</v>
      </c>
      <c r="E92" s="256">
        <v>42036</v>
      </c>
      <c r="F92" s="243">
        <v>6448099.416666667</v>
      </c>
      <c r="G92" s="244">
        <v>51072481</v>
      </c>
      <c r="H92" s="243">
        <f t="shared" si="2"/>
        <v>57520580.416666664</v>
      </c>
      <c r="I92" s="242">
        <v>1</v>
      </c>
      <c r="J92" s="241">
        <v>42036</v>
      </c>
      <c r="M92" s="242" t="s">
        <v>93</v>
      </c>
      <c r="N92" s="242">
        <v>0</v>
      </c>
      <c r="O92" s="247"/>
      <c r="P92" s="242">
        <f t="shared" si="3"/>
        <v>0</v>
      </c>
      <c r="Q92" s="247"/>
      <c r="S92" s="246"/>
    </row>
    <row r="93" spans="2:19" ht="16.5" customHeight="1" x14ac:dyDescent="0.45">
      <c r="B93" s="240" t="s">
        <v>489</v>
      </c>
      <c r="C93" s="241">
        <v>25840</v>
      </c>
      <c r="D93" s="242">
        <v>2</v>
      </c>
      <c r="E93" s="256">
        <v>42142</v>
      </c>
      <c r="F93" s="243">
        <v>7901211.416666667</v>
      </c>
      <c r="G93" s="244">
        <v>60287325</v>
      </c>
      <c r="H93" s="243">
        <f t="shared" si="2"/>
        <v>68188536.416666672</v>
      </c>
      <c r="I93" s="242">
        <v>1</v>
      </c>
      <c r="J93" s="241">
        <v>42142</v>
      </c>
      <c r="M93" s="242" t="s">
        <v>93</v>
      </c>
      <c r="N93" s="242">
        <v>0</v>
      </c>
      <c r="O93" s="247"/>
      <c r="P93" s="242">
        <f t="shared" si="3"/>
        <v>0</v>
      </c>
      <c r="Q93" s="247"/>
      <c r="S93" s="246"/>
    </row>
    <row r="94" spans="2:19" ht="16.5" customHeight="1" x14ac:dyDescent="0.45">
      <c r="B94" s="240" t="s">
        <v>490</v>
      </c>
      <c r="C94" s="241">
        <v>31091</v>
      </c>
      <c r="D94" s="242">
        <v>2</v>
      </c>
      <c r="E94" s="256">
        <v>42178</v>
      </c>
      <c r="F94" s="243">
        <v>3069407</v>
      </c>
      <c r="G94" s="244">
        <v>23117260</v>
      </c>
      <c r="H94" s="243">
        <f t="shared" si="2"/>
        <v>26186667</v>
      </c>
      <c r="I94" s="242">
        <v>1</v>
      </c>
      <c r="J94" s="241">
        <v>42178</v>
      </c>
      <c r="M94" s="242" t="s">
        <v>93</v>
      </c>
      <c r="N94" s="242">
        <v>0</v>
      </c>
      <c r="O94" s="247"/>
      <c r="P94" s="242">
        <f t="shared" si="3"/>
        <v>0</v>
      </c>
      <c r="Q94" s="247"/>
      <c r="S94" s="246"/>
    </row>
    <row r="95" spans="2:19" ht="16.5" customHeight="1" x14ac:dyDescent="0.45">
      <c r="B95" s="240" t="s">
        <v>491</v>
      </c>
      <c r="C95" s="241">
        <v>28985</v>
      </c>
      <c r="D95" s="242">
        <v>2</v>
      </c>
      <c r="E95" s="256">
        <v>42278</v>
      </c>
      <c r="F95" s="243">
        <v>6424073.666666667</v>
      </c>
      <c r="G95" s="244">
        <v>46622935</v>
      </c>
      <c r="H95" s="243">
        <f t="shared" si="2"/>
        <v>53047008.666666664</v>
      </c>
      <c r="I95" s="242">
        <v>1</v>
      </c>
      <c r="J95" s="241">
        <v>42278</v>
      </c>
      <c r="M95" s="242" t="s">
        <v>93</v>
      </c>
      <c r="N95" s="242">
        <v>0</v>
      </c>
      <c r="O95" s="247"/>
      <c r="P95" s="242">
        <f t="shared" si="3"/>
        <v>0</v>
      </c>
      <c r="Q95" s="247"/>
      <c r="S95" s="246"/>
    </row>
    <row r="96" spans="2:19" ht="16.5" customHeight="1" x14ac:dyDescent="0.45">
      <c r="B96" s="240" t="s">
        <v>492</v>
      </c>
      <c r="C96" s="241">
        <v>32349</v>
      </c>
      <c r="D96" s="242">
        <v>2</v>
      </c>
      <c r="E96" s="256">
        <v>42278</v>
      </c>
      <c r="F96" s="243">
        <v>3266180</v>
      </c>
      <c r="G96" s="244">
        <v>23704413</v>
      </c>
      <c r="H96" s="243">
        <f t="shared" si="2"/>
        <v>26970593</v>
      </c>
      <c r="I96" s="242">
        <v>1</v>
      </c>
      <c r="J96" s="241">
        <v>42278</v>
      </c>
      <c r="M96" s="242" t="s">
        <v>93</v>
      </c>
      <c r="N96" s="242">
        <v>0</v>
      </c>
      <c r="O96" s="247"/>
      <c r="P96" s="242">
        <f t="shared" si="3"/>
        <v>0</v>
      </c>
      <c r="Q96" s="247"/>
      <c r="S96" s="246"/>
    </row>
    <row r="97" spans="2:19" ht="16.5" customHeight="1" x14ac:dyDescent="0.45">
      <c r="B97" s="240" t="s">
        <v>493</v>
      </c>
      <c r="C97" s="241">
        <v>31602</v>
      </c>
      <c r="D97" s="242">
        <v>2</v>
      </c>
      <c r="E97" s="256">
        <v>42329</v>
      </c>
      <c r="F97" s="243">
        <v>4566995.25</v>
      </c>
      <c r="G97" s="244">
        <v>32506996</v>
      </c>
      <c r="H97" s="243">
        <f t="shared" si="2"/>
        <v>37073991.25</v>
      </c>
      <c r="I97" s="242">
        <v>1</v>
      </c>
      <c r="J97" s="241">
        <v>42329</v>
      </c>
      <c r="M97" s="242" t="s">
        <v>93</v>
      </c>
      <c r="N97" s="242">
        <v>0</v>
      </c>
      <c r="O97" s="247"/>
      <c r="P97" s="242">
        <f t="shared" si="3"/>
        <v>0</v>
      </c>
      <c r="Q97" s="247"/>
      <c r="S97" s="246"/>
    </row>
    <row r="98" spans="2:19" ht="16.5" customHeight="1" x14ac:dyDescent="0.45">
      <c r="B98" s="240" t="s">
        <v>494</v>
      </c>
      <c r="C98" s="241">
        <v>30356</v>
      </c>
      <c r="D98" s="242">
        <v>2</v>
      </c>
      <c r="E98" s="256">
        <v>42359</v>
      </c>
      <c r="F98" s="243">
        <v>7381410.5</v>
      </c>
      <c r="G98" s="244">
        <v>51932773</v>
      </c>
      <c r="H98" s="243">
        <f t="shared" si="2"/>
        <v>59314183.5</v>
      </c>
      <c r="I98" s="242">
        <v>1</v>
      </c>
      <c r="J98" s="241">
        <v>42359</v>
      </c>
      <c r="M98" s="242" t="s">
        <v>93</v>
      </c>
      <c r="N98" s="242">
        <v>0</v>
      </c>
      <c r="O98" s="247"/>
      <c r="P98" s="242">
        <f t="shared" si="3"/>
        <v>0</v>
      </c>
      <c r="Q98" s="247"/>
      <c r="S98" s="246"/>
    </row>
    <row r="99" spans="2:19" ht="16.5" customHeight="1" x14ac:dyDescent="0.45">
      <c r="B99" s="240" t="s">
        <v>495</v>
      </c>
      <c r="C99" s="241">
        <v>33516</v>
      </c>
      <c r="D99" s="242">
        <v>2</v>
      </c>
      <c r="E99" s="256">
        <v>42377</v>
      </c>
      <c r="F99" s="243">
        <v>7706351.916666667</v>
      </c>
      <c r="G99" s="244">
        <v>53838897</v>
      </c>
      <c r="H99" s="243">
        <f t="shared" si="2"/>
        <v>61545248.916666664</v>
      </c>
      <c r="I99" s="242">
        <v>1</v>
      </c>
      <c r="J99" s="241">
        <v>42377</v>
      </c>
      <c r="M99" s="242" t="s">
        <v>93</v>
      </c>
      <c r="N99" s="242">
        <v>0</v>
      </c>
      <c r="O99" s="247"/>
      <c r="P99" s="242">
        <f t="shared" si="3"/>
        <v>0</v>
      </c>
      <c r="Q99" s="247"/>
      <c r="S99" s="246"/>
    </row>
    <row r="100" spans="2:19" ht="16.5" customHeight="1" x14ac:dyDescent="0.45">
      <c r="B100" s="240" t="s">
        <v>496</v>
      </c>
      <c r="C100" s="241">
        <v>31820</v>
      </c>
      <c r="D100" s="242">
        <v>1</v>
      </c>
      <c r="E100" s="256">
        <v>42377</v>
      </c>
      <c r="F100" s="243">
        <v>7528193.25</v>
      </c>
      <c r="G100" s="244">
        <v>52594227</v>
      </c>
      <c r="H100" s="243">
        <f t="shared" si="2"/>
        <v>60122420.25</v>
      </c>
      <c r="I100" s="242">
        <v>1</v>
      </c>
      <c r="J100" s="241">
        <v>42377</v>
      </c>
      <c r="M100" s="242" t="s">
        <v>93</v>
      </c>
      <c r="N100" s="242">
        <v>0</v>
      </c>
      <c r="O100" s="247"/>
      <c r="P100" s="242">
        <f t="shared" si="3"/>
        <v>0</v>
      </c>
      <c r="Q100" s="247"/>
      <c r="S100" s="246"/>
    </row>
    <row r="101" spans="2:19" ht="16.5" customHeight="1" x14ac:dyDescent="0.45">
      <c r="B101" s="240" t="s">
        <v>497</v>
      </c>
      <c r="C101" s="241">
        <v>32898</v>
      </c>
      <c r="D101" s="242">
        <v>2</v>
      </c>
      <c r="E101" s="256">
        <v>42513</v>
      </c>
      <c r="F101" s="243">
        <v>5845044.5</v>
      </c>
      <c r="G101" s="244">
        <v>38657363</v>
      </c>
      <c r="H101" s="243">
        <f t="shared" si="2"/>
        <v>44502407.5</v>
      </c>
      <c r="I101" s="242">
        <v>1</v>
      </c>
      <c r="J101" s="241">
        <v>42513</v>
      </c>
      <c r="M101" s="242" t="s">
        <v>93</v>
      </c>
      <c r="N101" s="242">
        <v>0</v>
      </c>
      <c r="O101" s="247"/>
      <c r="P101" s="242">
        <f t="shared" si="3"/>
        <v>0</v>
      </c>
      <c r="Q101" s="247"/>
      <c r="S101" s="246"/>
    </row>
    <row r="102" spans="2:19" ht="16.5" customHeight="1" x14ac:dyDescent="0.45">
      <c r="B102" s="240" t="s">
        <v>498</v>
      </c>
      <c r="C102" s="241">
        <v>30361</v>
      </c>
      <c r="D102" s="242">
        <v>2</v>
      </c>
      <c r="E102" s="256">
        <v>42522</v>
      </c>
      <c r="F102" s="243">
        <v>7590404</v>
      </c>
      <c r="G102" s="244">
        <v>50013484</v>
      </c>
      <c r="H102" s="243">
        <f t="shared" si="2"/>
        <v>57603888</v>
      </c>
      <c r="I102" s="242">
        <v>1</v>
      </c>
      <c r="J102" s="241">
        <v>42522</v>
      </c>
      <c r="M102" s="242" t="s">
        <v>93</v>
      </c>
      <c r="N102" s="242">
        <v>0</v>
      </c>
      <c r="O102" s="247"/>
      <c r="P102" s="242">
        <f t="shared" si="3"/>
        <v>0</v>
      </c>
      <c r="Q102" s="247"/>
      <c r="S102" s="246"/>
    </row>
    <row r="103" spans="2:19" ht="16.5" customHeight="1" x14ac:dyDescent="0.45">
      <c r="B103" s="240" t="s">
        <v>499</v>
      </c>
      <c r="C103" s="241">
        <v>32292</v>
      </c>
      <c r="D103" s="242">
        <v>2</v>
      </c>
      <c r="E103" s="256">
        <v>42543</v>
      </c>
      <c r="F103" s="243">
        <v>3453418.25</v>
      </c>
      <c r="G103" s="244">
        <v>22556025</v>
      </c>
      <c r="H103" s="243">
        <f t="shared" si="2"/>
        <v>26009443.25</v>
      </c>
      <c r="I103" s="242">
        <v>1</v>
      </c>
      <c r="J103" s="241">
        <v>42543</v>
      </c>
      <c r="M103" s="242" t="s">
        <v>93</v>
      </c>
      <c r="N103" s="242">
        <v>0</v>
      </c>
      <c r="O103" s="247"/>
      <c r="P103" s="242">
        <f t="shared" si="3"/>
        <v>0</v>
      </c>
      <c r="Q103" s="247"/>
      <c r="S103" s="246"/>
    </row>
    <row r="104" spans="2:19" ht="16.5" customHeight="1" x14ac:dyDescent="0.45">
      <c r="B104" s="240" t="s">
        <v>500</v>
      </c>
      <c r="C104" s="241">
        <v>32567</v>
      </c>
      <c r="D104" s="242">
        <v>2</v>
      </c>
      <c r="E104" s="256">
        <v>42598</v>
      </c>
      <c r="F104" s="243">
        <v>3417740</v>
      </c>
      <c r="G104" s="244">
        <v>21807990</v>
      </c>
      <c r="H104" s="243">
        <f t="shared" si="2"/>
        <v>25225730</v>
      </c>
      <c r="I104" s="242">
        <v>1</v>
      </c>
      <c r="J104" s="241">
        <v>42598</v>
      </c>
      <c r="M104" s="242" t="s">
        <v>93</v>
      </c>
      <c r="N104" s="242">
        <v>0</v>
      </c>
      <c r="O104" s="247"/>
      <c r="P104" s="242">
        <f t="shared" si="3"/>
        <v>0</v>
      </c>
      <c r="Q104" s="247"/>
      <c r="S104" s="246"/>
    </row>
    <row r="105" spans="2:19" ht="16.5" customHeight="1" x14ac:dyDescent="0.45">
      <c r="B105" s="240" t="s">
        <v>501</v>
      </c>
      <c r="C105" s="241">
        <v>32839</v>
      </c>
      <c r="D105" s="242">
        <v>2</v>
      </c>
      <c r="E105" s="256">
        <v>42647</v>
      </c>
      <c r="F105" s="243">
        <v>5538376.166666667</v>
      </c>
      <c r="G105" s="244">
        <v>34595884</v>
      </c>
      <c r="H105" s="243">
        <f t="shared" si="2"/>
        <v>40134260.166666664</v>
      </c>
      <c r="I105" s="242">
        <v>1</v>
      </c>
      <c r="J105" s="241">
        <v>42647</v>
      </c>
      <c r="M105" s="242" t="s">
        <v>93</v>
      </c>
      <c r="N105" s="242">
        <v>0</v>
      </c>
      <c r="O105" s="247"/>
      <c r="P105" s="242">
        <f t="shared" si="3"/>
        <v>0</v>
      </c>
      <c r="Q105" s="247"/>
      <c r="S105" s="246"/>
    </row>
    <row r="106" spans="2:19" ht="16.5" customHeight="1" x14ac:dyDescent="0.45">
      <c r="B106" s="240" t="s">
        <v>502</v>
      </c>
      <c r="C106" s="241">
        <v>31649</v>
      </c>
      <c r="D106" s="242">
        <v>2</v>
      </c>
      <c r="E106" s="256">
        <v>42653</v>
      </c>
      <c r="F106" s="243">
        <v>5314734</v>
      </c>
      <c r="G106" s="244">
        <v>33111521</v>
      </c>
      <c r="H106" s="243">
        <f t="shared" si="2"/>
        <v>38426255</v>
      </c>
      <c r="I106" s="242">
        <v>1</v>
      </c>
      <c r="J106" s="241">
        <v>42653</v>
      </c>
      <c r="M106" s="242" t="s">
        <v>93</v>
      </c>
      <c r="N106" s="242">
        <v>0</v>
      </c>
      <c r="O106" s="247"/>
      <c r="P106" s="242">
        <f t="shared" si="3"/>
        <v>0</v>
      </c>
      <c r="Q106" s="247"/>
      <c r="S106" s="246"/>
    </row>
    <row r="107" spans="2:19" ht="16.5" customHeight="1" x14ac:dyDescent="0.45">
      <c r="B107" s="240" t="s">
        <v>503</v>
      </c>
      <c r="C107" s="241">
        <v>32911</v>
      </c>
      <c r="D107" s="242">
        <v>1</v>
      </c>
      <c r="E107" s="256">
        <v>42653</v>
      </c>
      <c r="F107" s="243">
        <v>4749369</v>
      </c>
      <c r="G107" s="244">
        <v>29589219</v>
      </c>
      <c r="H107" s="243">
        <f t="shared" si="2"/>
        <v>34338588</v>
      </c>
      <c r="I107" s="242">
        <v>1</v>
      </c>
      <c r="J107" s="241">
        <v>42653</v>
      </c>
      <c r="M107" s="242" t="s">
        <v>93</v>
      </c>
      <c r="N107" s="242">
        <v>0</v>
      </c>
      <c r="O107" s="247"/>
      <c r="P107" s="242">
        <f t="shared" si="3"/>
        <v>0</v>
      </c>
      <c r="Q107" s="247"/>
      <c r="S107" s="246"/>
    </row>
    <row r="108" spans="2:19" ht="16.5" customHeight="1" x14ac:dyDescent="0.45">
      <c r="B108" s="240" t="s">
        <v>504</v>
      </c>
      <c r="C108" s="241">
        <v>28086</v>
      </c>
      <c r="D108" s="242">
        <v>1</v>
      </c>
      <c r="E108" s="256">
        <v>42675</v>
      </c>
      <c r="F108" s="243">
        <v>8662426.75</v>
      </c>
      <c r="G108" s="244">
        <v>53445986</v>
      </c>
      <c r="H108" s="243">
        <f t="shared" si="2"/>
        <v>62108412.75</v>
      </c>
      <c r="I108" s="242">
        <v>1</v>
      </c>
      <c r="J108" s="241">
        <v>42675</v>
      </c>
      <c r="M108" s="242" t="s">
        <v>93</v>
      </c>
      <c r="N108" s="242">
        <v>0</v>
      </c>
      <c r="O108" s="247"/>
      <c r="P108" s="242">
        <f t="shared" si="3"/>
        <v>0</v>
      </c>
      <c r="Q108" s="247"/>
      <c r="S108" s="246"/>
    </row>
    <row r="109" spans="2:19" ht="16.5" customHeight="1" x14ac:dyDescent="0.45">
      <c r="B109" s="240" t="s">
        <v>505</v>
      </c>
      <c r="C109" s="241">
        <v>31817</v>
      </c>
      <c r="D109" s="242">
        <v>2</v>
      </c>
      <c r="E109" s="256">
        <v>42767</v>
      </c>
      <c r="F109" s="243">
        <v>3453415.1666666665</v>
      </c>
      <c r="G109" s="244">
        <v>20436649</v>
      </c>
      <c r="H109" s="243">
        <f t="shared" si="2"/>
        <v>23890064.166666668</v>
      </c>
      <c r="I109" s="242">
        <v>1</v>
      </c>
      <c r="J109" s="241">
        <v>42767</v>
      </c>
      <c r="M109" s="242" t="s">
        <v>93</v>
      </c>
      <c r="N109" s="242">
        <v>0</v>
      </c>
      <c r="O109" s="247"/>
      <c r="P109" s="242">
        <f t="shared" si="3"/>
        <v>0</v>
      </c>
      <c r="Q109" s="247"/>
      <c r="S109" s="246"/>
    </row>
    <row r="110" spans="2:19" ht="16.5" customHeight="1" x14ac:dyDescent="0.45">
      <c r="B110" s="240" t="s">
        <v>506</v>
      </c>
      <c r="C110" s="241">
        <v>31811</v>
      </c>
      <c r="D110" s="242">
        <v>2</v>
      </c>
      <c r="E110" s="256">
        <v>42796</v>
      </c>
      <c r="F110" s="243">
        <v>6605883</v>
      </c>
      <c r="G110" s="244">
        <v>38567498</v>
      </c>
      <c r="H110" s="243">
        <f t="shared" si="2"/>
        <v>45173381</v>
      </c>
      <c r="I110" s="242">
        <v>1</v>
      </c>
      <c r="J110" s="241">
        <v>42796</v>
      </c>
      <c r="M110" s="242" t="s">
        <v>93</v>
      </c>
      <c r="N110" s="242">
        <v>0</v>
      </c>
      <c r="O110" s="247"/>
      <c r="P110" s="242">
        <f t="shared" si="3"/>
        <v>0</v>
      </c>
      <c r="Q110" s="247"/>
      <c r="S110" s="246"/>
    </row>
    <row r="111" spans="2:19" ht="16.5" customHeight="1" x14ac:dyDescent="0.45">
      <c r="B111" s="240" t="s">
        <v>507</v>
      </c>
      <c r="C111" s="241">
        <v>33000</v>
      </c>
      <c r="D111" s="242">
        <v>2</v>
      </c>
      <c r="E111" s="256">
        <v>42844</v>
      </c>
      <c r="F111" s="243">
        <v>3512007.3333333335</v>
      </c>
      <c r="G111" s="244">
        <v>20042497</v>
      </c>
      <c r="H111" s="243">
        <f t="shared" si="2"/>
        <v>23554504.333333332</v>
      </c>
      <c r="I111" s="242">
        <v>1</v>
      </c>
      <c r="J111" s="241">
        <v>42844</v>
      </c>
      <c r="M111" s="242" t="s">
        <v>93</v>
      </c>
      <c r="N111" s="242">
        <v>0</v>
      </c>
      <c r="O111" s="247"/>
      <c r="P111" s="242">
        <f t="shared" si="3"/>
        <v>0</v>
      </c>
      <c r="Q111" s="247"/>
      <c r="S111" s="246"/>
    </row>
    <row r="112" spans="2:19" ht="16.5" customHeight="1" x14ac:dyDescent="0.45">
      <c r="B112" s="240" t="s">
        <v>508</v>
      </c>
      <c r="C112" s="241">
        <v>27070</v>
      </c>
      <c r="D112" s="242">
        <v>2</v>
      </c>
      <c r="E112" s="256">
        <v>42865</v>
      </c>
      <c r="F112" s="243">
        <v>11336975.666666666</v>
      </c>
      <c r="G112" s="244">
        <v>64046147</v>
      </c>
      <c r="H112" s="243">
        <f t="shared" si="2"/>
        <v>75383122.666666672</v>
      </c>
      <c r="I112" s="242">
        <v>1</v>
      </c>
      <c r="J112" s="241">
        <v>42865</v>
      </c>
      <c r="M112" s="242" t="s">
        <v>93</v>
      </c>
      <c r="N112" s="242">
        <v>0</v>
      </c>
      <c r="O112" s="247"/>
      <c r="P112" s="242">
        <f t="shared" si="3"/>
        <v>0</v>
      </c>
      <c r="Q112" s="247"/>
      <c r="S112" s="246"/>
    </row>
    <row r="113" spans="2:19" ht="16.5" customHeight="1" x14ac:dyDescent="0.45">
      <c r="B113" s="240" t="s">
        <v>509</v>
      </c>
      <c r="C113" s="241">
        <v>27900</v>
      </c>
      <c r="D113" s="242">
        <v>2</v>
      </c>
      <c r="E113" s="256">
        <v>42877</v>
      </c>
      <c r="F113" s="243">
        <v>23333340</v>
      </c>
      <c r="G113" s="244">
        <v>225900603</v>
      </c>
      <c r="H113" s="243">
        <f t="shared" si="2"/>
        <v>284233953</v>
      </c>
      <c r="I113" s="242">
        <v>3</v>
      </c>
      <c r="J113" s="241">
        <v>43355</v>
      </c>
      <c r="M113" s="242">
        <v>2.5</v>
      </c>
      <c r="N113" s="242">
        <v>0</v>
      </c>
      <c r="O113" s="247"/>
      <c r="P113" s="242">
        <f t="shared" si="3"/>
        <v>0</v>
      </c>
      <c r="Q113" s="247"/>
      <c r="S113" s="246"/>
    </row>
    <row r="114" spans="2:19" ht="16.5" customHeight="1" x14ac:dyDescent="0.45">
      <c r="B114" s="240" t="s">
        <v>510</v>
      </c>
      <c r="C114" s="241">
        <v>33046</v>
      </c>
      <c r="D114" s="242">
        <v>2</v>
      </c>
      <c r="E114" s="256">
        <v>42877</v>
      </c>
      <c r="F114" s="243">
        <v>3453751.0833333335</v>
      </c>
      <c r="G114" s="244">
        <v>19397780</v>
      </c>
      <c r="H114" s="243">
        <f t="shared" si="2"/>
        <v>22851531.083333332</v>
      </c>
      <c r="I114" s="242">
        <v>1</v>
      </c>
      <c r="J114" s="241">
        <v>42877</v>
      </c>
      <c r="M114" s="242" t="s">
        <v>93</v>
      </c>
      <c r="N114" s="242">
        <v>0</v>
      </c>
      <c r="O114" s="247"/>
      <c r="P114" s="242">
        <f t="shared" si="3"/>
        <v>0</v>
      </c>
      <c r="Q114" s="247"/>
      <c r="S114" s="246"/>
    </row>
    <row r="115" spans="2:19" ht="16.5" customHeight="1" x14ac:dyDescent="0.45">
      <c r="B115" s="240" t="s">
        <v>511</v>
      </c>
      <c r="C115" s="241">
        <v>27231</v>
      </c>
      <c r="D115" s="242">
        <v>2</v>
      </c>
      <c r="E115" s="256">
        <v>42893</v>
      </c>
      <c r="F115" s="243">
        <v>15594619.5</v>
      </c>
      <c r="G115" s="244">
        <v>86902619</v>
      </c>
      <c r="H115" s="243">
        <f t="shared" si="2"/>
        <v>102497238.5</v>
      </c>
      <c r="I115" s="242">
        <v>1</v>
      </c>
      <c r="J115" s="241">
        <v>42893</v>
      </c>
      <c r="M115" s="242" t="s">
        <v>93</v>
      </c>
      <c r="N115" s="242">
        <v>0</v>
      </c>
      <c r="O115" s="247"/>
      <c r="P115" s="242">
        <f t="shared" si="3"/>
        <v>0</v>
      </c>
      <c r="Q115" s="247"/>
      <c r="S115" s="246"/>
    </row>
    <row r="116" spans="2:19" ht="16.5" customHeight="1" x14ac:dyDescent="0.45">
      <c r="B116" s="240" t="s">
        <v>512</v>
      </c>
      <c r="C116" s="241">
        <v>34427</v>
      </c>
      <c r="D116" s="242">
        <v>2</v>
      </c>
      <c r="E116" s="256">
        <v>43004</v>
      </c>
      <c r="F116" s="243">
        <v>3118359.3333333335</v>
      </c>
      <c r="G116" s="244">
        <v>16429055</v>
      </c>
      <c r="H116" s="243">
        <f t="shared" si="2"/>
        <v>19547414.333333332</v>
      </c>
      <c r="I116" s="242">
        <v>1</v>
      </c>
      <c r="J116" s="241">
        <v>43004</v>
      </c>
      <c r="M116" s="242" t="s">
        <v>93</v>
      </c>
      <c r="N116" s="242">
        <v>0</v>
      </c>
      <c r="O116" s="247"/>
      <c r="P116" s="242">
        <f t="shared" si="3"/>
        <v>0</v>
      </c>
      <c r="Q116" s="247"/>
      <c r="S116" s="246"/>
    </row>
    <row r="117" spans="2:19" ht="16.5" customHeight="1" x14ac:dyDescent="0.45">
      <c r="B117" s="240" t="s">
        <v>513</v>
      </c>
      <c r="C117" s="241">
        <v>32692</v>
      </c>
      <c r="D117" s="242">
        <v>2</v>
      </c>
      <c r="E117" s="256">
        <v>43102</v>
      </c>
      <c r="F117" s="243">
        <v>6355027</v>
      </c>
      <c r="G117" s="244">
        <v>31775135</v>
      </c>
      <c r="H117" s="243">
        <f t="shared" si="2"/>
        <v>38130162</v>
      </c>
      <c r="I117" s="242">
        <v>1</v>
      </c>
      <c r="J117" s="241">
        <v>43102</v>
      </c>
      <c r="M117" s="242" t="s">
        <v>93</v>
      </c>
      <c r="N117" s="242">
        <v>0</v>
      </c>
      <c r="O117" s="247"/>
      <c r="P117" s="242">
        <f t="shared" si="3"/>
        <v>0</v>
      </c>
      <c r="Q117" s="247"/>
      <c r="S117" s="246"/>
    </row>
    <row r="118" spans="2:19" ht="16.5" customHeight="1" x14ac:dyDescent="0.45">
      <c r="B118" s="240" t="s">
        <v>514</v>
      </c>
      <c r="C118" s="241">
        <v>33269</v>
      </c>
      <c r="D118" s="242">
        <v>2</v>
      </c>
      <c r="E118" s="256">
        <v>43102</v>
      </c>
      <c r="F118" s="243">
        <v>3117934.75</v>
      </c>
      <c r="G118" s="244">
        <v>15589674</v>
      </c>
      <c r="H118" s="243">
        <f t="shared" si="2"/>
        <v>18707608.75</v>
      </c>
      <c r="I118" s="242">
        <v>1</v>
      </c>
      <c r="J118" s="241">
        <v>43102</v>
      </c>
      <c r="M118" s="242" t="s">
        <v>93</v>
      </c>
      <c r="N118" s="242">
        <v>0</v>
      </c>
      <c r="O118" s="247"/>
      <c r="P118" s="242">
        <f t="shared" si="3"/>
        <v>0</v>
      </c>
      <c r="Q118" s="247"/>
      <c r="S118" s="246"/>
    </row>
    <row r="119" spans="2:19" ht="16.5" customHeight="1" x14ac:dyDescent="0.45">
      <c r="B119" s="240" t="s">
        <v>515</v>
      </c>
      <c r="C119" s="241">
        <v>32519</v>
      </c>
      <c r="D119" s="242">
        <v>2</v>
      </c>
      <c r="E119" s="256">
        <v>43108</v>
      </c>
      <c r="F119" s="243">
        <v>3169246.6666666665</v>
      </c>
      <c r="G119" s="244">
        <v>15794136</v>
      </c>
      <c r="H119" s="243">
        <f t="shared" si="2"/>
        <v>18963382.666666668</v>
      </c>
      <c r="I119" s="242">
        <v>1</v>
      </c>
      <c r="J119" s="241">
        <v>43108</v>
      </c>
      <c r="M119" s="242" t="s">
        <v>93</v>
      </c>
      <c r="N119" s="242">
        <v>0</v>
      </c>
      <c r="O119" s="247"/>
      <c r="P119" s="242">
        <f t="shared" si="3"/>
        <v>0</v>
      </c>
      <c r="Q119" s="247"/>
      <c r="S119" s="246"/>
    </row>
    <row r="120" spans="2:19" ht="16.5" customHeight="1" x14ac:dyDescent="0.45">
      <c r="B120" s="240" t="s">
        <v>516</v>
      </c>
      <c r="C120" s="241">
        <v>31647</v>
      </c>
      <c r="D120" s="242">
        <v>2</v>
      </c>
      <c r="E120" s="256">
        <v>43108</v>
      </c>
      <c r="F120" s="243">
        <v>3191213.4166666665</v>
      </c>
      <c r="G120" s="244">
        <v>15903609</v>
      </c>
      <c r="H120" s="243">
        <f t="shared" si="2"/>
        <v>19094822.416666668</v>
      </c>
      <c r="I120" s="242">
        <v>1</v>
      </c>
      <c r="J120" s="241">
        <v>43108</v>
      </c>
      <c r="M120" s="242" t="s">
        <v>93</v>
      </c>
      <c r="N120" s="242">
        <v>0</v>
      </c>
      <c r="O120" s="247"/>
      <c r="P120" s="242">
        <f t="shared" si="3"/>
        <v>0</v>
      </c>
      <c r="Q120" s="247"/>
      <c r="S120" s="246"/>
    </row>
    <row r="121" spans="2:19" ht="16.5" customHeight="1" x14ac:dyDescent="0.45">
      <c r="B121" s="240" t="s">
        <v>517</v>
      </c>
      <c r="C121" s="241">
        <v>30964</v>
      </c>
      <c r="D121" s="242">
        <v>1</v>
      </c>
      <c r="E121" s="256">
        <v>43136</v>
      </c>
      <c r="F121" s="243">
        <v>4549935.75</v>
      </c>
      <c r="G121" s="244">
        <v>22325849</v>
      </c>
      <c r="H121" s="243">
        <f t="shared" si="2"/>
        <v>26875784.75</v>
      </c>
      <c r="I121" s="242">
        <v>1</v>
      </c>
      <c r="J121" s="241">
        <v>43136</v>
      </c>
      <c r="M121" s="242" t="s">
        <v>93</v>
      </c>
      <c r="N121" s="242">
        <v>0</v>
      </c>
      <c r="O121" s="247"/>
      <c r="P121" s="242">
        <f t="shared" si="3"/>
        <v>0</v>
      </c>
      <c r="Q121" s="247"/>
      <c r="S121" s="246"/>
    </row>
    <row r="122" spans="2:19" ht="16.5" customHeight="1" x14ac:dyDescent="0.45">
      <c r="B122" s="240" t="s">
        <v>518</v>
      </c>
      <c r="C122" s="241">
        <v>32756</v>
      </c>
      <c r="D122" s="242">
        <v>2</v>
      </c>
      <c r="E122" s="256">
        <v>43171</v>
      </c>
      <c r="F122" s="243">
        <v>3186369.6666666665</v>
      </c>
      <c r="G122" s="244">
        <v>15329494</v>
      </c>
      <c r="H122" s="243">
        <f t="shared" si="2"/>
        <v>18515863.666666668</v>
      </c>
      <c r="I122" s="242">
        <v>1</v>
      </c>
      <c r="J122" s="241">
        <v>43171</v>
      </c>
      <c r="M122" s="242" t="s">
        <v>93</v>
      </c>
      <c r="N122" s="242">
        <v>0</v>
      </c>
      <c r="O122" s="247"/>
      <c r="P122" s="242">
        <f t="shared" si="3"/>
        <v>0</v>
      </c>
      <c r="Q122" s="247"/>
      <c r="S122" s="246"/>
    </row>
    <row r="123" spans="2:19" ht="16.5" customHeight="1" x14ac:dyDescent="0.45">
      <c r="B123" s="240" t="s">
        <v>519</v>
      </c>
      <c r="C123" s="241">
        <v>30502</v>
      </c>
      <c r="D123" s="242">
        <v>2</v>
      </c>
      <c r="E123" s="256">
        <v>43178</v>
      </c>
      <c r="F123" s="243">
        <v>5928907.916666667</v>
      </c>
      <c r="G123" s="244">
        <v>28410027</v>
      </c>
      <c r="H123" s="243">
        <f t="shared" si="2"/>
        <v>34338934.916666664</v>
      </c>
      <c r="I123" s="242">
        <v>1</v>
      </c>
      <c r="J123" s="241">
        <v>43178</v>
      </c>
      <c r="M123" s="242" t="s">
        <v>93</v>
      </c>
      <c r="N123" s="242">
        <v>0</v>
      </c>
      <c r="O123" s="247"/>
      <c r="P123" s="242">
        <f t="shared" si="3"/>
        <v>0</v>
      </c>
      <c r="Q123" s="247"/>
      <c r="S123" s="246"/>
    </row>
    <row r="124" spans="2:19" ht="16.5" customHeight="1" x14ac:dyDescent="0.45">
      <c r="B124" s="240" t="s">
        <v>520</v>
      </c>
      <c r="C124" s="241">
        <v>24951</v>
      </c>
      <c r="D124" s="242">
        <v>2</v>
      </c>
      <c r="E124" s="256">
        <v>43234</v>
      </c>
      <c r="F124" s="243">
        <v>10228625.166666666</v>
      </c>
      <c r="G124" s="244">
        <v>47444007</v>
      </c>
      <c r="H124" s="243">
        <f t="shared" si="2"/>
        <v>57672632.166666664</v>
      </c>
      <c r="I124" s="242">
        <v>1</v>
      </c>
      <c r="J124" s="241">
        <v>43234</v>
      </c>
      <c r="M124" s="242" t="s">
        <v>93</v>
      </c>
      <c r="N124" s="242">
        <v>0</v>
      </c>
      <c r="O124" s="247"/>
      <c r="P124" s="242">
        <f t="shared" si="3"/>
        <v>0</v>
      </c>
      <c r="Q124" s="247"/>
      <c r="S124" s="246"/>
    </row>
    <row r="125" spans="2:19" ht="16.5" customHeight="1" x14ac:dyDescent="0.45">
      <c r="B125" s="240" t="s">
        <v>521</v>
      </c>
      <c r="C125" s="241">
        <v>32051</v>
      </c>
      <c r="D125" s="242">
        <v>2</v>
      </c>
      <c r="E125" s="256">
        <v>43276</v>
      </c>
      <c r="F125" s="243">
        <v>3484922.6666666665</v>
      </c>
      <c r="G125" s="244">
        <v>15763308</v>
      </c>
      <c r="H125" s="243">
        <f t="shared" si="2"/>
        <v>19248230.666666668</v>
      </c>
      <c r="I125" s="242">
        <v>1</v>
      </c>
      <c r="J125" s="241">
        <v>43276</v>
      </c>
      <c r="M125" s="242" t="s">
        <v>93</v>
      </c>
      <c r="N125" s="242">
        <v>0</v>
      </c>
      <c r="O125" s="247"/>
      <c r="P125" s="242">
        <f t="shared" si="3"/>
        <v>0</v>
      </c>
      <c r="Q125" s="247"/>
      <c r="S125" s="246"/>
    </row>
    <row r="126" spans="2:19" ht="16.5" customHeight="1" x14ac:dyDescent="0.45">
      <c r="B126" s="240" t="s">
        <v>522</v>
      </c>
      <c r="C126" s="241">
        <v>31852</v>
      </c>
      <c r="D126" s="242">
        <v>2</v>
      </c>
      <c r="E126" s="256">
        <v>43283</v>
      </c>
      <c r="F126" s="243">
        <v>6518242.833333333</v>
      </c>
      <c r="G126" s="244">
        <v>29358880</v>
      </c>
      <c r="H126" s="243">
        <f t="shared" si="2"/>
        <v>35877122.833333336</v>
      </c>
      <c r="I126" s="242">
        <v>1</v>
      </c>
      <c r="J126" s="241">
        <v>43283</v>
      </c>
      <c r="M126" s="242" t="s">
        <v>93</v>
      </c>
      <c r="N126" s="242">
        <v>0</v>
      </c>
      <c r="O126" s="247"/>
      <c r="P126" s="242">
        <f t="shared" si="3"/>
        <v>0</v>
      </c>
      <c r="Q126" s="247"/>
      <c r="S126" s="246"/>
    </row>
    <row r="127" spans="2:19" ht="16.5" customHeight="1" x14ac:dyDescent="0.45">
      <c r="B127" s="240" t="s">
        <v>523</v>
      </c>
      <c r="C127" s="241">
        <v>30556</v>
      </c>
      <c r="D127" s="242">
        <v>2</v>
      </c>
      <c r="E127" s="256">
        <v>43283</v>
      </c>
      <c r="F127" s="243">
        <v>6493034.25</v>
      </c>
      <c r="G127" s="244">
        <v>29245338</v>
      </c>
      <c r="H127" s="243">
        <f t="shared" si="2"/>
        <v>35738372.25</v>
      </c>
      <c r="I127" s="242">
        <v>1</v>
      </c>
      <c r="J127" s="241">
        <v>43283</v>
      </c>
      <c r="M127" s="242" t="s">
        <v>93</v>
      </c>
      <c r="N127" s="242">
        <v>0</v>
      </c>
      <c r="O127" s="247"/>
      <c r="P127" s="242">
        <f t="shared" si="3"/>
        <v>0</v>
      </c>
      <c r="Q127" s="247"/>
      <c r="S127" s="246"/>
    </row>
    <row r="128" spans="2:19" ht="16.5" customHeight="1" x14ac:dyDescent="0.45">
      <c r="B128" s="240" t="s">
        <v>524</v>
      </c>
      <c r="C128" s="241">
        <v>30218</v>
      </c>
      <c r="D128" s="242">
        <v>2</v>
      </c>
      <c r="E128" s="256">
        <v>43293</v>
      </c>
      <c r="F128" s="243">
        <v>6732288.416666667</v>
      </c>
      <c r="G128" s="244">
        <v>30138519</v>
      </c>
      <c r="H128" s="243">
        <f t="shared" si="2"/>
        <v>36870807.416666664</v>
      </c>
      <c r="I128" s="242">
        <v>1</v>
      </c>
      <c r="J128" s="241">
        <v>43293</v>
      </c>
      <c r="M128" s="242" t="s">
        <v>93</v>
      </c>
      <c r="N128" s="242">
        <v>0</v>
      </c>
      <c r="O128" s="247"/>
      <c r="P128" s="242">
        <f t="shared" si="3"/>
        <v>0</v>
      </c>
      <c r="Q128" s="247"/>
      <c r="S128" s="246"/>
    </row>
    <row r="129" spans="2:19" ht="16.5" customHeight="1" x14ac:dyDescent="0.45">
      <c r="B129" s="240" t="s">
        <v>525</v>
      </c>
      <c r="C129" s="241">
        <v>33522</v>
      </c>
      <c r="D129" s="242">
        <v>2</v>
      </c>
      <c r="E129" s="256">
        <v>43297</v>
      </c>
      <c r="F129" s="243">
        <v>3103467.75</v>
      </c>
      <c r="G129" s="244">
        <v>13859322</v>
      </c>
      <c r="H129" s="243">
        <f t="shared" si="2"/>
        <v>16962789.75</v>
      </c>
      <c r="I129" s="242">
        <v>1</v>
      </c>
      <c r="J129" s="241">
        <v>43297</v>
      </c>
      <c r="M129" s="242" t="s">
        <v>93</v>
      </c>
      <c r="N129" s="242">
        <v>0</v>
      </c>
      <c r="O129" s="247"/>
      <c r="P129" s="242">
        <f t="shared" si="3"/>
        <v>0</v>
      </c>
      <c r="Q129" s="247"/>
      <c r="S129" s="246"/>
    </row>
    <row r="130" spans="2:19" ht="16.5" customHeight="1" x14ac:dyDescent="0.45">
      <c r="B130" s="240" t="s">
        <v>526</v>
      </c>
      <c r="C130" s="241">
        <v>30978</v>
      </c>
      <c r="D130" s="242">
        <v>2</v>
      </c>
      <c r="E130" s="256">
        <v>43304</v>
      </c>
      <c r="F130" s="243">
        <v>3696611.4166666665</v>
      </c>
      <c r="G130" s="244">
        <v>16437261</v>
      </c>
      <c r="H130" s="243">
        <f t="shared" si="2"/>
        <v>20133872.416666668</v>
      </c>
      <c r="I130" s="242">
        <v>1</v>
      </c>
      <c r="J130" s="241">
        <v>43304</v>
      </c>
      <c r="M130" s="242" t="s">
        <v>93</v>
      </c>
      <c r="N130" s="242">
        <v>0</v>
      </c>
      <c r="O130" s="247"/>
      <c r="P130" s="242">
        <f t="shared" si="3"/>
        <v>0</v>
      </c>
      <c r="Q130" s="247"/>
      <c r="S130" s="246"/>
    </row>
    <row r="131" spans="2:19" ht="16.5" customHeight="1" x14ac:dyDescent="0.45">
      <c r="B131" s="240" t="s">
        <v>527</v>
      </c>
      <c r="C131" s="241">
        <v>33233</v>
      </c>
      <c r="D131" s="242">
        <v>2</v>
      </c>
      <c r="E131" s="256">
        <v>43304</v>
      </c>
      <c r="F131" s="243">
        <v>3174452.3333333335</v>
      </c>
      <c r="G131" s="244">
        <v>14115441</v>
      </c>
      <c r="H131" s="243">
        <f t="shared" ref="H131:H194" si="4">IF(I131=3,G131+F131*M131,G131+F131)</f>
        <v>17289893.333333332</v>
      </c>
      <c r="I131" s="242">
        <v>1</v>
      </c>
      <c r="J131" s="241">
        <v>43304</v>
      </c>
      <c r="M131" s="242" t="s">
        <v>93</v>
      </c>
      <c r="N131" s="242">
        <v>0</v>
      </c>
      <c r="O131" s="247"/>
      <c r="P131" s="242">
        <f t="shared" ref="P131:P194" si="5">N131/366</f>
        <v>0</v>
      </c>
      <c r="Q131" s="247"/>
      <c r="S131" s="246"/>
    </row>
    <row r="132" spans="2:19" ht="16.5" customHeight="1" x14ac:dyDescent="0.45">
      <c r="B132" s="240" t="s">
        <v>528</v>
      </c>
      <c r="C132" s="241">
        <v>30556</v>
      </c>
      <c r="D132" s="242">
        <v>2</v>
      </c>
      <c r="E132" s="256">
        <v>43325</v>
      </c>
      <c r="F132" s="243">
        <v>9777363.083333334</v>
      </c>
      <c r="G132" s="244">
        <v>42913248</v>
      </c>
      <c r="H132" s="243">
        <f t="shared" si="4"/>
        <v>52690611.083333336</v>
      </c>
      <c r="I132" s="242">
        <v>1</v>
      </c>
      <c r="J132" s="241">
        <v>43325</v>
      </c>
      <c r="M132" s="242" t="s">
        <v>93</v>
      </c>
      <c r="N132" s="242">
        <v>0</v>
      </c>
      <c r="O132" s="247"/>
      <c r="P132" s="242">
        <f t="shared" si="5"/>
        <v>0</v>
      </c>
      <c r="Q132" s="247"/>
      <c r="S132" s="246"/>
    </row>
    <row r="133" spans="2:19" ht="16.5" customHeight="1" x14ac:dyDescent="0.45">
      <c r="B133" s="240" t="s">
        <v>529</v>
      </c>
      <c r="C133" s="252">
        <v>28221</v>
      </c>
      <c r="D133" s="257">
        <v>1</v>
      </c>
      <c r="E133" s="258">
        <v>43356</v>
      </c>
      <c r="F133" s="260">
        <v>16666670</v>
      </c>
      <c r="G133" s="260">
        <v>22222227</v>
      </c>
      <c r="H133" s="261">
        <f t="shared" si="4"/>
        <v>55555567</v>
      </c>
      <c r="I133" s="257">
        <v>3</v>
      </c>
      <c r="J133" s="252">
        <v>44682</v>
      </c>
      <c r="K133" s="262">
        <v>48818301</v>
      </c>
      <c r="L133" s="257"/>
      <c r="M133" s="257">
        <v>2</v>
      </c>
      <c r="N133" s="257">
        <v>0</v>
      </c>
      <c r="O133" s="275" t="s">
        <v>360</v>
      </c>
      <c r="P133" s="242">
        <f t="shared" si="5"/>
        <v>0</v>
      </c>
      <c r="Q133" s="247"/>
      <c r="S133" s="246"/>
    </row>
    <row r="134" spans="2:19" ht="16.5" customHeight="1" x14ac:dyDescent="0.45">
      <c r="B134" s="240" t="s">
        <v>530</v>
      </c>
      <c r="C134" s="241">
        <v>32736</v>
      </c>
      <c r="D134" s="242">
        <v>1</v>
      </c>
      <c r="E134" s="256">
        <v>43405</v>
      </c>
      <c r="F134" s="243">
        <v>3160829.5</v>
      </c>
      <c r="G134" s="244">
        <v>13180226</v>
      </c>
      <c r="H134" s="243">
        <f t="shared" si="4"/>
        <v>16341055.5</v>
      </c>
      <c r="I134" s="242">
        <v>1</v>
      </c>
      <c r="J134" s="241">
        <v>43405</v>
      </c>
      <c r="M134" s="242" t="s">
        <v>93</v>
      </c>
      <c r="N134" s="242">
        <v>0</v>
      </c>
      <c r="O134" s="247"/>
      <c r="P134" s="242">
        <f t="shared" si="5"/>
        <v>0</v>
      </c>
      <c r="Q134" s="247"/>
      <c r="S134" s="246"/>
    </row>
    <row r="135" spans="2:19" ht="16.5" customHeight="1" x14ac:dyDescent="0.45">
      <c r="B135" s="240" t="s">
        <v>531</v>
      </c>
      <c r="C135" s="241">
        <v>29061</v>
      </c>
      <c r="D135" s="242">
        <v>1</v>
      </c>
      <c r="E135" s="256">
        <v>43430</v>
      </c>
      <c r="F135" s="243">
        <v>7494042.416666667</v>
      </c>
      <c r="G135" s="244">
        <v>30735840</v>
      </c>
      <c r="H135" s="243">
        <f t="shared" si="4"/>
        <v>38229882.416666664</v>
      </c>
      <c r="I135" s="242">
        <v>1</v>
      </c>
      <c r="J135" s="241">
        <v>43430</v>
      </c>
      <c r="M135" s="242" t="s">
        <v>93</v>
      </c>
      <c r="N135" s="242">
        <v>0</v>
      </c>
      <c r="O135" s="247"/>
      <c r="P135" s="242">
        <f t="shared" si="5"/>
        <v>0</v>
      </c>
      <c r="Q135" s="247"/>
      <c r="S135" s="246"/>
    </row>
    <row r="136" spans="2:19" ht="16.5" customHeight="1" x14ac:dyDescent="0.45">
      <c r="B136" s="240" t="s">
        <v>532</v>
      </c>
      <c r="C136" s="241">
        <v>30948</v>
      </c>
      <c r="D136" s="242">
        <v>2</v>
      </c>
      <c r="E136" s="256">
        <v>43437</v>
      </c>
      <c r="F136" s="243">
        <v>5161240</v>
      </c>
      <c r="G136" s="244">
        <v>21069172</v>
      </c>
      <c r="H136" s="243">
        <f t="shared" si="4"/>
        <v>26230412</v>
      </c>
      <c r="I136" s="242">
        <v>1</v>
      </c>
      <c r="J136" s="241">
        <v>43437</v>
      </c>
      <c r="M136" s="242" t="s">
        <v>93</v>
      </c>
      <c r="N136" s="242">
        <v>0</v>
      </c>
      <c r="O136" s="247"/>
      <c r="P136" s="242">
        <f t="shared" si="5"/>
        <v>0</v>
      </c>
      <c r="Q136" s="247"/>
      <c r="S136" s="246"/>
    </row>
    <row r="137" spans="2:19" ht="16.5" customHeight="1" x14ac:dyDescent="0.45">
      <c r="B137" s="240" t="s">
        <v>533</v>
      </c>
      <c r="C137" s="241">
        <v>33483</v>
      </c>
      <c r="D137" s="242">
        <v>1</v>
      </c>
      <c r="E137" s="256">
        <v>43439</v>
      </c>
      <c r="F137" s="243">
        <v>4480424.75</v>
      </c>
      <c r="G137" s="244">
        <v>18265403</v>
      </c>
      <c r="H137" s="243">
        <f t="shared" si="4"/>
        <v>22745827.75</v>
      </c>
      <c r="I137" s="242">
        <v>1</v>
      </c>
      <c r="J137" s="241">
        <v>43439</v>
      </c>
      <c r="M137" s="242" t="s">
        <v>93</v>
      </c>
      <c r="N137" s="242">
        <v>0</v>
      </c>
      <c r="O137" s="247"/>
      <c r="P137" s="242">
        <f t="shared" si="5"/>
        <v>0</v>
      </c>
      <c r="Q137" s="247"/>
      <c r="S137" s="246"/>
    </row>
    <row r="138" spans="2:19" ht="16.5" customHeight="1" x14ac:dyDescent="0.45">
      <c r="B138" s="240" t="s">
        <v>534</v>
      </c>
      <c r="C138" s="241">
        <v>33029</v>
      </c>
      <c r="D138" s="242">
        <v>1</v>
      </c>
      <c r="E138" s="256">
        <v>43445</v>
      </c>
      <c r="F138" s="243">
        <v>6426237.916666667</v>
      </c>
      <c r="G138" s="244">
        <v>26092287</v>
      </c>
      <c r="H138" s="243">
        <f t="shared" si="4"/>
        <v>32518524.916666668</v>
      </c>
      <c r="I138" s="242">
        <v>1</v>
      </c>
      <c r="J138" s="241">
        <v>43445</v>
      </c>
      <c r="M138" s="242" t="s">
        <v>93</v>
      </c>
      <c r="N138" s="242">
        <v>0</v>
      </c>
      <c r="O138" s="247"/>
      <c r="P138" s="242">
        <f t="shared" si="5"/>
        <v>0</v>
      </c>
      <c r="Q138" s="247"/>
      <c r="S138" s="246"/>
    </row>
    <row r="139" spans="2:19" ht="16.5" customHeight="1" x14ac:dyDescent="0.45">
      <c r="B139" s="240" t="s">
        <v>535</v>
      </c>
      <c r="C139" s="241">
        <v>25750</v>
      </c>
      <c r="D139" s="242">
        <v>1</v>
      </c>
      <c r="E139" s="256">
        <v>43452</v>
      </c>
      <c r="F139" s="243">
        <v>10730579.916666666</v>
      </c>
      <c r="G139" s="244">
        <v>42481337</v>
      </c>
      <c r="H139" s="243">
        <f t="shared" si="4"/>
        <v>53211916.916666664</v>
      </c>
      <c r="I139" s="242">
        <v>1</v>
      </c>
      <c r="J139" s="241">
        <v>43452</v>
      </c>
      <c r="M139" s="242" t="s">
        <v>93</v>
      </c>
      <c r="N139" s="242">
        <v>30</v>
      </c>
      <c r="O139" s="247"/>
      <c r="P139" s="242">
        <f t="shared" si="5"/>
        <v>8.1967213114754092E-2</v>
      </c>
      <c r="Q139" s="247"/>
      <c r="S139" s="246"/>
    </row>
    <row r="140" spans="2:19" ht="16.5" customHeight="1" x14ac:dyDescent="0.45">
      <c r="B140" s="240" t="s">
        <v>536</v>
      </c>
      <c r="C140" s="241">
        <v>34339</v>
      </c>
      <c r="D140" s="242">
        <v>1</v>
      </c>
      <c r="E140" s="256">
        <v>43453</v>
      </c>
      <c r="F140" s="243">
        <v>6667554.333333333</v>
      </c>
      <c r="G140" s="244">
        <v>26925959</v>
      </c>
      <c r="H140" s="243">
        <f t="shared" si="4"/>
        <v>33593513.333333336</v>
      </c>
      <c r="I140" s="242">
        <v>1</v>
      </c>
      <c r="J140" s="241">
        <v>43453</v>
      </c>
      <c r="M140" s="242" t="s">
        <v>93</v>
      </c>
      <c r="N140" s="242">
        <v>0</v>
      </c>
      <c r="O140" s="247"/>
      <c r="P140" s="242">
        <f t="shared" si="5"/>
        <v>0</v>
      </c>
      <c r="Q140" s="247"/>
      <c r="S140" s="246"/>
    </row>
    <row r="141" spans="2:19" ht="16.5" customHeight="1" x14ac:dyDescent="0.45">
      <c r="B141" s="240" t="s">
        <v>537</v>
      </c>
      <c r="C141" s="241">
        <v>31471</v>
      </c>
      <c r="D141" s="242">
        <v>1</v>
      </c>
      <c r="E141" s="256">
        <v>43453</v>
      </c>
      <c r="F141" s="243">
        <v>7211721.583333333</v>
      </c>
      <c r="G141" s="244">
        <v>29123500</v>
      </c>
      <c r="H141" s="243">
        <f t="shared" si="4"/>
        <v>36335221.583333336</v>
      </c>
      <c r="I141" s="242">
        <v>1</v>
      </c>
      <c r="J141" s="241">
        <v>43453</v>
      </c>
      <c r="M141" s="242" t="s">
        <v>93</v>
      </c>
      <c r="N141" s="242">
        <v>0</v>
      </c>
      <c r="O141" s="247"/>
      <c r="P141" s="242">
        <f t="shared" si="5"/>
        <v>0</v>
      </c>
      <c r="Q141" s="247"/>
      <c r="S141" s="246"/>
    </row>
    <row r="142" spans="2:19" ht="16.5" customHeight="1" x14ac:dyDescent="0.45">
      <c r="B142" s="240" t="s">
        <v>538</v>
      </c>
      <c r="C142" s="241">
        <v>26976</v>
      </c>
      <c r="D142" s="242">
        <v>1</v>
      </c>
      <c r="E142" s="256">
        <v>43460</v>
      </c>
      <c r="F142" s="243">
        <v>8872135.666666666</v>
      </c>
      <c r="G142" s="244">
        <v>35658693</v>
      </c>
      <c r="H142" s="243">
        <f t="shared" si="4"/>
        <v>44530828.666666664</v>
      </c>
      <c r="I142" s="242">
        <v>1</v>
      </c>
      <c r="J142" s="241">
        <v>43460</v>
      </c>
      <c r="M142" s="242" t="s">
        <v>93</v>
      </c>
      <c r="N142" s="242">
        <v>0</v>
      </c>
      <c r="O142" s="247"/>
      <c r="P142" s="242">
        <f t="shared" si="5"/>
        <v>0</v>
      </c>
      <c r="Q142" s="247"/>
      <c r="S142" s="246"/>
    </row>
    <row r="143" spans="2:19" ht="16.5" customHeight="1" x14ac:dyDescent="0.45">
      <c r="B143" s="240" t="s">
        <v>539</v>
      </c>
      <c r="C143" s="241">
        <v>27202</v>
      </c>
      <c r="D143" s="242">
        <v>2</v>
      </c>
      <c r="E143" s="256">
        <v>37424</v>
      </c>
      <c r="F143" s="243">
        <v>13291598.333333334</v>
      </c>
      <c r="G143" s="244">
        <v>162958637</v>
      </c>
      <c r="H143" s="243">
        <f t="shared" si="4"/>
        <v>176250235.33333334</v>
      </c>
      <c r="I143" s="242">
        <v>1</v>
      </c>
      <c r="J143" s="241">
        <v>40452</v>
      </c>
      <c r="M143" s="242" t="s">
        <v>93</v>
      </c>
      <c r="N143" s="242">
        <v>0</v>
      </c>
      <c r="O143" s="247"/>
      <c r="P143" s="242">
        <f t="shared" si="5"/>
        <v>0</v>
      </c>
      <c r="Q143" s="247"/>
      <c r="S143" s="246"/>
    </row>
    <row r="144" spans="2:19" ht="16.5" customHeight="1" x14ac:dyDescent="0.45">
      <c r="B144" s="240" t="s">
        <v>540</v>
      </c>
      <c r="C144" s="241">
        <v>25574</v>
      </c>
      <c r="D144" s="242">
        <v>1</v>
      </c>
      <c r="E144" s="256">
        <v>34736</v>
      </c>
      <c r="F144" s="243">
        <v>23333340</v>
      </c>
      <c r="G144" s="244">
        <v>225900603</v>
      </c>
      <c r="H144" s="243">
        <f t="shared" si="4"/>
        <v>284233953</v>
      </c>
      <c r="I144" s="242">
        <v>3</v>
      </c>
      <c r="J144" s="241">
        <v>43355</v>
      </c>
      <c r="M144" s="242">
        <v>2.5</v>
      </c>
      <c r="N144" s="242">
        <v>0</v>
      </c>
      <c r="O144" s="247"/>
      <c r="P144" s="242">
        <f t="shared" si="5"/>
        <v>0</v>
      </c>
      <c r="Q144" s="247"/>
      <c r="S144" s="246"/>
    </row>
    <row r="145" spans="2:19" ht="16.5" customHeight="1" x14ac:dyDescent="0.45">
      <c r="B145" s="240" t="s">
        <v>541</v>
      </c>
      <c r="C145" s="241">
        <v>26795</v>
      </c>
      <c r="D145" s="242">
        <v>1</v>
      </c>
      <c r="E145" s="256">
        <v>39741</v>
      </c>
      <c r="F145" s="243">
        <v>9940025.833333334</v>
      </c>
      <c r="G145" s="244">
        <v>141230066</v>
      </c>
      <c r="H145" s="243">
        <f t="shared" si="4"/>
        <v>151170091.83333334</v>
      </c>
      <c r="I145" s="242">
        <v>1</v>
      </c>
      <c r="J145" s="241">
        <v>39741</v>
      </c>
      <c r="M145" s="242" t="s">
        <v>93</v>
      </c>
      <c r="N145" s="242">
        <v>0</v>
      </c>
      <c r="O145" s="247"/>
      <c r="P145" s="242">
        <f t="shared" si="5"/>
        <v>0</v>
      </c>
      <c r="Q145" s="247"/>
      <c r="S145" s="246"/>
    </row>
    <row r="146" spans="2:19" ht="16.5" customHeight="1" x14ac:dyDescent="0.45">
      <c r="B146" s="240" t="s">
        <v>542</v>
      </c>
      <c r="C146" s="241">
        <v>29402</v>
      </c>
      <c r="D146" s="242">
        <v>1</v>
      </c>
      <c r="E146" s="256">
        <v>43467</v>
      </c>
      <c r="F146" s="243">
        <v>6795601.916666667</v>
      </c>
      <c r="G146" s="244">
        <v>27182408</v>
      </c>
      <c r="H146" s="243">
        <f t="shared" si="4"/>
        <v>33978009.916666664</v>
      </c>
      <c r="I146" s="242">
        <v>1</v>
      </c>
      <c r="J146" s="241">
        <v>43467</v>
      </c>
      <c r="M146" s="242" t="s">
        <v>93</v>
      </c>
      <c r="N146" s="242">
        <v>0</v>
      </c>
      <c r="O146" s="247"/>
      <c r="P146" s="242">
        <f t="shared" si="5"/>
        <v>0</v>
      </c>
      <c r="Q146" s="247"/>
      <c r="S146" s="246"/>
    </row>
    <row r="147" spans="2:19" ht="16.5" customHeight="1" x14ac:dyDescent="0.45">
      <c r="B147" s="240" t="s">
        <v>543</v>
      </c>
      <c r="C147" s="241">
        <v>30077</v>
      </c>
      <c r="D147" s="242">
        <v>1</v>
      </c>
      <c r="E147" s="256">
        <v>43467</v>
      </c>
      <c r="F147" s="243">
        <v>9250642.5</v>
      </c>
      <c r="G147" s="244">
        <v>37002570</v>
      </c>
      <c r="H147" s="243">
        <f t="shared" si="4"/>
        <v>46253212.5</v>
      </c>
      <c r="I147" s="242">
        <v>1</v>
      </c>
      <c r="J147" s="241">
        <v>43467</v>
      </c>
      <c r="M147" s="242" t="s">
        <v>93</v>
      </c>
      <c r="N147" s="242">
        <v>0</v>
      </c>
      <c r="O147" s="247"/>
      <c r="P147" s="242">
        <f t="shared" si="5"/>
        <v>0</v>
      </c>
      <c r="Q147" s="247"/>
      <c r="S147" s="246"/>
    </row>
    <row r="148" spans="2:19" ht="16.5" customHeight="1" x14ac:dyDescent="0.45">
      <c r="B148" s="240" t="s">
        <v>544</v>
      </c>
      <c r="C148" s="241">
        <v>28163</v>
      </c>
      <c r="D148" s="242">
        <v>1</v>
      </c>
      <c r="E148" s="256">
        <v>43467</v>
      </c>
      <c r="F148" s="243">
        <v>7194971.083333333</v>
      </c>
      <c r="G148" s="244">
        <v>28779884</v>
      </c>
      <c r="H148" s="243">
        <f t="shared" si="4"/>
        <v>35974855.083333336</v>
      </c>
      <c r="I148" s="242">
        <v>1</v>
      </c>
      <c r="J148" s="241">
        <v>43467</v>
      </c>
      <c r="M148" s="242" t="s">
        <v>93</v>
      </c>
      <c r="N148" s="242">
        <v>0</v>
      </c>
      <c r="O148" s="247"/>
      <c r="P148" s="242">
        <f t="shared" si="5"/>
        <v>0</v>
      </c>
      <c r="Q148" s="247"/>
      <c r="S148" s="246"/>
    </row>
    <row r="149" spans="2:19" ht="16.5" customHeight="1" x14ac:dyDescent="0.45">
      <c r="B149" s="240" t="s">
        <v>545</v>
      </c>
      <c r="C149" s="241">
        <v>28018</v>
      </c>
      <c r="D149" s="242">
        <v>2</v>
      </c>
      <c r="E149" s="256">
        <v>43479</v>
      </c>
      <c r="F149" s="243">
        <v>8303707.25</v>
      </c>
      <c r="G149" s="244">
        <v>32941830</v>
      </c>
      <c r="H149" s="243">
        <f t="shared" si="4"/>
        <v>41245537.25</v>
      </c>
      <c r="I149" s="242">
        <v>1</v>
      </c>
      <c r="J149" s="241">
        <v>43479</v>
      </c>
      <c r="M149" s="242" t="s">
        <v>93</v>
      </c>
      <c r="N149" s="242">
        <v>0</v>
      </c>
      <c r="O149" s="247"/>
      <c r="P149" s="242">
        <f t="shared" si="5"/>
        <v>0</v>
      </c>
      <c r="Q149" s="247"/>
      <c r="S149" s="246"/>
    </row>
    <row r="150" spans="2:19" ht="16.5" customHeight="1" x14ac:dyDescent="0.45">
      <c r="B150" s="240" t="s">
        <v>546</v>
      </c>
      <c r="C150" s="241">
        <v>34517</v>
      </c>
      <c r="D150" s="242">
        <v>2</v>
      </c>
      <c r="E150" s="256">
        <v>43486</v>
      </c>
      <c r="F150" s="243">
        <v>3166550.0833333335</v>
      </c>
      <c r="G150" s="244">
        <v>12501366</v>
      </c>
      <c r="H150" s="243">
        <f t="shared" si="4"/>
        <v>15667916.083333334</v>
      </c>
      <c r="I150" s="242">
        <v>1</v>
      </c>
      <c r="J150" s="241">
        <v>43486</v>
      </c>
      <c r="M150" s="242" t="s">
        <v>93</v>
      </c>
      <c r="N150" s="242">
        <v>0</v>
      </c>
      <c r="O150" s="247"/>
      <c r="P150" s="242">
        <f t="shared" si="5"/>
        <v>0</v>
      </c>
      <c r="Q150" s="247"/>
      <c r="S150" s="246"/>
    </row>
    <row r="151" spans="2:19" ht="16.5" customHeight="1" x14ac:dyDescent="0.45">
      <c r="B151" s="240" t="s">
        <v>547</v>
      </c>
      <c r="C151" s="241">
        <v>25341</v>
      </c>
      <c r="D151" s="242">
        <v>1</v>
      </c>
      <c r="E151" s="256">
        <v>43486</v>
      </c>
      <c r="F151" s="243">
        <v>11236555.083333334</v>
      </c>
      <c r="G151" s="244">
        <v>44361304</v>
      </c>
      <c r="H151" s="243">
        <f t="shared" si="4"/>
        <v>55597859.083333336</v>
      </c>
      <c r="I151" s="242">
        <v>1</v>
      </c>
      <c r="J151" s="241">
        <v>43486</v>
      </c>
      <c r="M151" s="242" t="s">
        <v>93</v>
      </c>
      <c r="N151" s="242">
        <v>0</v>
      </c>
      <c r="O151" s="247"/>
      <c r="P151" s="242">
        <f t="shared" si="5"/>
        <v>0</v>
      </c>
      <c r="Q151" s="247"/>
      <c r="S151" s="246"/>
    </row>
    <row r="152" spans="2:19" ht="16.5" customHeight="1" x14ac:dyDescent="0.45">
      <c r="B152" s="240" t="s">
        <v>548</v>
      </c>
      <c r="C152" s="241">
        <v>30900</v>
      </c>
      <c r="D152" s="242">
        <v>2</v>
      </c>
      <c r="E152" s="256">
        <v>43487</v>
      </c>
      <c r="F152" s="243">
        <v>4811680.333333333</v>
      </c>
      <c r="G152" s="244">
        <v>18983068</v>
      </c>
      <c r="H152" s="243">
        <f t="shared" si="4"/>
        <v>23794748.333333332</v>
      </c>
      <c r="I152" s="242">
        <v>1</v>
      </c>
      <c r="J152" s="241">
        <v>43487</v>
      </c>
      <c r="M152" s="242" t="s">
        <v>93</v>
      </c>
      <c r="N152" s="242">
        <v>0</v>
      </c>
      <c r="O152" s="247"/>
      <c r="P152" s="242">
        <f t="shared" si="5"/>
        <v>0</v>
      </c>
      <c r="Q152" s="247"/>
      <c r="S152" s="246"/>
    </row>
    <row r="153" spans="2:19" ht="16.5" customHeight="1" x14ac:dyDescent="0.45">
      <c r="B153" s="240" t="s">
        <v>549</v>
      </c>
      <c r="C153" s="241">
        <v>34647</v>
      </c>
      <c r="D153" s="242">
        <v>2</v>
      </c>
      <c r="E153" s="256">
        <v>43493</v>
      </c>
      <c r="F153" s="243">
        <v>3100829.5</v>
      </c>
      <c r="G153" s="244">
        <v>12182437</v>
      </c>
      <c r="H153" s="243">
        <f t="shared" si="4"/>
        <v>15283266.5</v>
      </c>
      <c r="I153" s="242">
        <v>1</v>
      </c>
      <c r="J153" s="241">
        <v>43493</v>
      </c>
      <c r="M153" s="242" t="s">
        <v>93</v>
      </c>
      <c r="N153" s="242">
        <v>0</v>
      </c>
      <c r="O153" s="247"/>
      <c r="P153" s="242">
        <f t="shared" si="5"/>
        <v>0</v>
      </c>
      <c r="Q153" s="247"/>
      <c r="S153" s="246"/>
    </row>
    <row r="154" spans="2:19" ht="16.5" customHeight="1" x14ac:dyDescent="0.45">
      <c r="B154" s="240" t="s">
        <v>550</v>
      </c>
      <c r="C154" s="241">
        <v>33577</v>
      </c>
      <c r="D154" s="242">
        <v>1</v>
      </c>
      <c r="E154" s="256">
        <v>43507</v>
      </c>
      <c r="F154" s="243">
        <v>4285640.75</v>
      </c>
      <c r="G154" s="244">
        <v>16672904</v>
      </c>
      <c r="H154" s="243">
        <f t="shared" si="4"/>
        <v>20958544.75</v>
      </c>
      <c r="I154" s="242">
        <v>1</v>
      </c>
      <c r="J154" s="241">
        <v>43507</v>
      </c>
      <c r="M154" s="242" t="s">
        <v>93</v>
      </c>
      <c r="N154" s="242">
        <v>0</v>
      </c>
      <c r="O154" s="247"/>
      <c r="P154" s="242">
        <f t="shared" si="5"/>
        <v>0</v>
      </c>
      <c r="Q154" s="247"/>
      <c r="S154" s="246"/>
    </row>
    <row r="155" spans="2:19" ht="16.25" customHeight="1" x14ac:dyDescent="0.45">
      <c r="B155" s="240" t="s">
        <v>551</v>
      </c>
      <c r="C155" s="241">
        <v>30385</v>
      </c>
      <c r="D155" s="242">
        <v>2</v>
      </c>
      <c r="E155" s="256">
        <v>43507</v>
      </c>
      <c r="F155" s="243">
        <v>5236613.166666667</v>
      </c>
      <c r="G155" s="244">
        <v>20372577</v>
      </c>
      <c r="H155" s="243">
        <f t="shared" si="4"/>
        <v>25609190.166666668</v>
      </c>
      <c r="I155" s="242">
        <v>1</v>
      </c>
      <c r="J155" s="241">
        <v>43507</v>
      </c>
      <c r="M155" s="242" t="s">
        <v>93</v>
      </c>
      <c r="N155" s="242">
        <v>0</v>
      </c>
      <c r="O155" s="247"/>
      <c r="P155" s="242">
        <f t="shared" si="5"/>
        <v>0</v>
      </c>
      <c r="Q155" s="247"/>
      <c r="S155" s="246"/>
    </row>
    <row r="156" spans="2:19" ht="16.5" customHeight="1" x14ac:dyDescent="0.45">
      <c r="B156" s="240" t="s">
        <v>552</v>
      </c>
      <c r="C156" s="241">
        <v>27909</v>
      </c>
      <c r="D156" s="242">
        <v>2</v>
      </c>
      <c r="E156" s="256">
        <v>43509</v>
      </c>
      <c r="F156" s="243">
        <v>7108521</v>
      </c>
      <c r="G156" s="244">
        <v>27616117</v>
      </c>
      <c r="H156" s="243">
        <f t="shared" si="4"/>
        <v>34724638</v>
      </c>
      <c r="I156" s="242">
        <v>1</v>
      </c>
      <c r="J156" s="241">
        <v>43509</v>
      </c>
      <c r="M156" s="242" t="s">
        <v>93</v>
      </c>
      <c r="N156" s="242">
        <v>0</v>
      </c>
      <c r="O156" s="247"/>
      <c r="P156" s="242">
        <f t="shared" si="5"/>
        <v>0</v>
      </c>
      <c r="Q156" s="247"/>
      <c r="S156" s="246"/>
    </row>
    <row r="157" spans="2:19" ht="16.5" customHeight="1" x14ac:dyDescent="0.45">
      <c r="B157" s="240" t="s">
        <v>553</v>
      </c>
      <c r="C157" s="241">
        <v>29588</v>
      </c>
      <c r="D157" s="242">
        <v>1</v>
      </c>
      <c r="E157" s="256">
        <v>43521</v>
      </c>
      <c r="F157" s="243">
        <v>7723836.666666667</v>
      </c>
      <c r="G157" s="244">
        <v>25858982</v>
      </c>
      <c r="H157" s="243">
        <f t="shared" si="4"/>
        <v>33582818.666666664</v>
      </c>
      <c r="I157" s="242">
        <v>1</v>
      </c>
      <c r="J157" s="241">
        <v>43521</v>
      </c>
      <c r="M157" s="242" t="s">
        <v>93</v>
      </c>
      <c r="N157" s="242">
        <v>184</v>
      </c>
      <c r="O157" s="247"/>
      <c r="P157" s="242">
        <f t="shared" si="5"/>
        <v>0.50273224043715847</v>
      </c>
      <c r="Q157" s="247"/>
      <c r="S157" s="246"/>
    </row>
    <row r="158" spans="2:19" ht="16.5" customHeight="1" x14ac:dyDescent="0.45">
      <c r="B158" s="240" t="s">
        <v>554</v>
      </c>
      <c r="C158" s="241">
        <v>30834</v>
      </c>
      <c r="D158" s="242">
        <v>1</v>
      </c>
      <c r="E158" s="256">
        <v>43521</v>
      </c>
      <c r="F158" s="243">
        <v>5803921.083333333</v>
      </c>
      <c r="G158" s="244">
        <v>22357022</v>
      </c>
      <c r="H158" s="243">
        <f t="shared" si="4"/>
        <v>28160943.083333332</v>
      </c>
      <c r="I158" s="242">
        <v>1</v>
      </c>
      <c r="J158" s="241">
        <v>43521</v>
      </c>
      <c r="M158" s="242" t="s">
        <v>93</v>
      </c>
      <c r="N158" s="242">
        <v>0</v>
      </c>
      <c r="O158" s="247"/>
      <c r="P158" s="242">
        <f t="shared" si="5"/>
        <v>0</v>
      </c>
      <c r="Q158" s="247"/>
      <c r="S158" s="246"/>
    </row>
    <row r="159" spans="2:19" ht="16.5" customHeight="1" x14ac:dyDescent="0.45">
      <c r="B159" s="240" t="s">
        <v>555</v>
      </c>
      <c r="C159" s="241">
        <v>32742</v>
      </c>
      <c r="D159" s="242">
        <v>2</v>
      </c>
      <c r="E159" s="256">
        <v>43528</v>
      </c>
      <c r="F159" s="243">
        <v>4593593.833333333</v>
      </c>
      <c r="G159" s="244">
        <v>17606679</v>
      </c>
      <c r="H159" s="243">
        <f t="shared" si="4"/>
        <v>22200272.833333332</v>
      </c>
      <c r="I159" s="242">
        <v>1</v>
      </c>
      <c r="J159" s="241">
        <v>43528</v>
      </c>
      <c r="M159" s="242" t="s">
        <v>93</v>
      </c>
      <c r="N159" s="242">
        <v>0</v>
      </c>
      <c r="O159" s="247"/>
      <c r="P159" s="242">
        <f t="shared" si="5"/>
        <v>0</v>
      </c>
      <c r="Q159" s="247"/>
      <c r="S159" s="246"/>
    </row>
    <row r="160" spans="2:19" ht="16.5" customHeight="1" x14ac:dyDescent="0.45">
      <c r="B160" s="240" t="s">
        <v>556</v>
      </c>
      <c r="C160" s="241">
        <v>32815</v>
      </c>
      <c r="D160" s="242">
        <v>1</v>
      </c>
      <c r="E160" s="256">
        <v>43528</v>
      </c>
      <c r="F160" s="243">
        <v>4501376.333333333</v>
      </c>
      <c r="G160" s="244">
        <v>17253221</v>
      </c>
      <c r="H160" s="243">
        <f t="shared" si="4"/>
        <v>21754597.333333332</v>
      </c>
      <c r="I160" s="242">
        <v>1</v>
      </c>
      <c r="J160" s="241">
        <v>43528</v>
      </c>
      <c r="M160" s="242" t="s">
        <v>93</v>
      </c>
      <c r="N160" s="242">
        <v>0</v>
      </c>
      <c r="O160" s="247"/>
      <c r="P160" s="242">
        <f t="shared" si="5"/>
        <v>0</v>
      </c>
      <c r="Q160" s="247"/>
      <c r="S160" s="246"/>
    </row>
    <row r="161" spans="2:19" ht="16.5" customHeight="1" x14ac:dyDescent="0.45">
      <c r="B161" s="240" t="s">
        <v>557</v>
      </c>
      <c r="C161" s="241">
        <v>30545</v>
      </c>
      <c r="D161" s="242">
        <v>2</v>
      </c>
      <c r="E161" s="256">
        <v>43545</v>
      </c>
      <c r="F161" s="243">
        <v>5225532.5</v>
      </c>
      <c r="G161" s="244">
        <v>19785441</v>
      </c>
      <c r="H161" s="243">
        <f t="shared" si="4"/>
        <v>25010973.5</v>
      </c>
      <c r="I161" s="242">
        <v>1</v>
      </c>
      <c r="J161" s="241">
        <v>43545</v>
      </c>
      <c r="M161" s="242" t="s">
        <v>93</v>
      </c>
      <c r="N161" s="242">
        <v>0</v>
      </c>
      <c r="O161" s="247"/>
      <c r="P161" s="242">
        <f t="shared" si="5"/>
        <v>0</v>
      </c>
      <c r="Q161" s="247"/>
      <c r="S161" s="246"/>
    </row>
    <row r="162" spans="2:19" ht="16.5" customHeight="1" x14ac:dyDescent="0.45">
      <c r="B162" s="240" t="s">
        <v>558</v>
      </c>
      <c r="C162" s="241">
        <v>26888</v>
      </c>
      <c r="D162" s="242">
        <v>1</v>
      </c>
      <c r="E162" s="256">
        <v>43556</v>
      </c>
      <c r="F162" s="243">
        <v>7273398.916666667</v>
      </c>
      <c r="G162" s="244">
        <v>27320082</v>
      </c>
      <c r="H162" s="243">
        <f t="shared" si="4"/>
        <v>34593480.916666664</v>
      </c>
      <c r="I162" s="242">
        <v>1</v>
      </c>
      <c r="J162" s="241">
        <v>43556</v>
      </c>
      <c r="M162" s="242" t="s">
        <v>93</v>
      </c>
      <c r="N162" s="242">
        <v>0</v>
      </c>
      <c r="O162" s="247"/>
      <c r="P162" s="242">
        <f t="shared" si="5"/>
        <v>0</v>
      </c>
      <c r="Q162" s="247"/>
      <c r="S162" s="246"/>
    </row>
    <row r="163" spans="2:19" ht="16.5" customHeight="1" x14ac:dyDescent="0.45">
      <c r="B163" s="240" t="s">
        <v>559</v>
      </c>
      <c r="C163" s="241">
        <v>33337</v>
      </c>
      <c r="D163" s="242">
        <v>2</v>
      </c>
      <c r="E163" s="256">
        <v>43556</v>
      </c>
      <c r="F163" s="243">
        <v>3687052.9166666665</v>
      </c>
      <c r="G163" s="244">
        <v>13849177</v>
      </c>
      <c r="H163" s="243">
        <f t="shared" si="4"/>
        <v>17536229.916666668</v>
      </c>
      <c r="I163" s="242">
        <v>1</v>
      </c>
      <c r="J163" s="241">
        <v>43556</v>
      </c>
      <c r="M163" s="242" t="s">
        <v>93</v>
      </c>
      <c r="N163" s="242">
        <v>0</v>
      </c>
      <c r="O163" s="247"/>
      <c r="P163" s="242">
        <f t="shared" si="5"/>
        <v>0</v>
      </c>
      <c r="Q163" s="247"/>
      <c r="S163" s="246"/>
    </row>
    <row r="164" spans="2:19" ht="16.5" customHeight="1" x14ac:dyDescent="0.45">
      <c r="B164" s="240" t="s">
        <v>560</v>
      </c>
      <c r="C164" s="241">
        <v>29129</v>
      </c>
      <c r="D164" s="242">
        <v>1</v>
      </c>
      <c r="E164" s="256">
        <v>43563</v>
      </c>
      <c r="F164" s="243">
        <v>5802039.166666667</v>
      </c>
      <c r="G164" s="244">
        <v>21682141</v>
      </c>
      <c r="H164" s="243">
        <f t="shared" si="4"/>
        <v>27484180.166666668</v>
      </c>
      <c r="I164" s="242">
        <v>1</v>
      </c>
      <c r="J164" s="241">
        <v>43563</v>
      </c>
      <c r="M164" s="242" t="s">
        <v>93</v>
      </c>
      <c r="N164" s="242">
        <v>0</v>
      </c>
      <c r="O164" s="247"/>
      <c r="P164" s="242">
        <f t="shared" si="5"/>
        <v>0</v>
      </c>
      <c r="Q164" s="247"/>
      <c r="S164" s="246"/>
    </row>
    <row r="165" spans="2:19" ht="16.5" customHeight="1" x14ac:dyDescent="0.45">
      <c r="B165" s="240" t="s">
        <v>561</v>
      </c>
      <c r="C165" s="241">
        <v>30993</v>
      </c>
      <c r="D165" s="242">
        <v>2</v>
      </c>
      <c r="E165" s="256">
        <v>43565</v>
      </c>
      <c r="F165" s="243">
        <v>6027441.166666667</v>
      </c>
      <c r="G165" s="244">
        <v>22491438</v>
      </c>
      <c r="H165" s="243">
        <f t="shared" si="4"/>
        <v>28518879.166666668</v>
      </c>
      <c r="I165" s="242">
        <v>1</v>
      </c>
      <c r="J165" s="241">
        <v>43565</v>
      </c>
      <c r="M165" s="242" t="s">
        <v>93</v>
      </c>
      <c r="N165" s="242">
        <v>0</v>
      </c>
      <c r="O165" s="247"/>
      <c r="P165" s="242">
        <f t="shared" si="5"/>
        <v>0</v>
      </c>
      <c r="Q165" s="247"/>
      <c r="S165" s="246"/>
    </row>
    <row r="166" spans="2:19" ht="16.5" customHeight="1" x14ac:dyDescent="0.45">
      <c r="B166" s="240" t="s">
        <v>562</v>
      </c>
      <c r="C166" s="241">
        <v>32486</v>
      </c>
      <c r="D166" s="242">
        <v>2</v>
      </c>
      <c r="E166" s="256">
        <v>43580</v>
      </c>
      <c r="F166" s="243">
        <v>3504736.9166666665</v>
      </c>
      <c r="G166" s="244">
        <v>12933920</v>
      </c>
      <c r="H166" s="243">
        <f t="shared" si="4"/>
        <v>16438656.916666666</v>
      </c>
      <c r="I166" s="242">
        <v>1</v>
      </c>
      <c r="J166" s="241">
        <v>43580</v>
      </c>
      <c r="M166" s="242" t="s">
        <v>93</v>
      </c>
      <c r="N166" s="242">
        <v>0</v>
      </c>
      <c r="O166" s="247"/>
      <c r="P166" s="242">
        <f t="shared" si="5"/>
        <v>0</v>
      </c>
      <c r="Q166" s="247"/>
      <c r="S166" s="246"/>
    </row>
    <row r="167" spans="2:19" ht="16.5" customHeight="1" x14ac:dyDescent="0.45">
      <c r="B167" s="240" t="s">
        <v>563</v>
      </c>
      <c r="C167" s="241">
        <v>32701</v>
      </c>
      <c r="D167" s="242">
        <v>1</v>
      </c>
      <c r="E167" s="256">
        <v>43584</v>
      </c>
      <c r="F167" s="243">
        <v>5617001.166666667</v>
      </c>
      <c r="G167" s="244">
        <v>20667486</v>
      </c>
      <c r="H167" s="243">
        <f t="shared" si="4"/>
        <v>26284487.166666668</v>
      </c>
      <c r="I167" s="242">
        <v>1</v>
      </c>
      <c r="J167" s="241">
        <v>43584</v>
      </c>
      <c r="M167" s="242" t="s">
        <v>93</v>
      </c>
      <c r="N167" s="242">
        <v>0</v>
      </c>
      <c r="O167" s="247"/>
      <c r="P167" s="242">
        <f t="shared" si="5"/>
        <v>0</v>
      </c>
      <c r="Q167" s="247"/>
      <c r="S167" s="246"/>
    </row>
    <row r="168" spans="2:19" ht="16.5" customHeight="1" x14ac:dyDescent="0.45">
      <c r="B168" s="240" t="s">
        <v>564</v>
      </c>
      <c r="C168" s="241">
        <v>26592</v>
      </c>
      <c r="D168" s="242">
        <v>1</v>
      </c>
      <c r="E168" s="256">
        <v>43586</v>
      </c>
      <c r="F168" s="243">
        <v>10442142.833333334</v>
      </c>
      <c r="G168" s="244">
        <v>38364147</v>
      </c>
      <c r="H168" s="243">
        <f t="shared" si="4"/>
        <v>48806289.833333336</v>
      </c>
      <c r="I168" s="242">
        <v>1</v>
      </c>
      <c r="J168" s="241">
        <v>43586</v>
      </c>
      <c r="M168" s="242" t="s">
        <v>93</v>
      </c>
      <c r="N168" s="242">
        <v>0</v>
      </c>
      <c r="O168" s="247"/>
      <c r="P168" s="242">
        <f t="shared" si="5"/>
        <v>0</v>
      </c>
      <c r="Q168" s="247"/>
      <c r="S168" s="246"/>
    </row>
    <row r="169" spans="2:19" ht="16.5" customHeight="1" x14ac:dyDescent="0.45">
      <c r="B169" s="240" t="s">
        <v>565</v>
      </c>
      <c r="C169" s="241">
        <v>32853</v>
      </c>
      <c r="D169" s="242">
        <v>2</v>
      </c>
      <c r="E169" s="256">
        <v>43587</v>
      </c>
      <c r="F169" s="243">
        <v>5911039.666666667</v>
      </c>
      <c r="G169" s="244">
        <v>21700803</v>
      </c>
      <c r="H169" s="243">
        <f t="shared" si="4"/>
        <v>27611842.666666668</v>
      </c>
      <c r="I169" s="242">
        <v>1</v>
      </c>
      <c r="J169" s="241">
        <v>43587</v>
      </c>
      <c r="M169" s="242" t="s">
        <v>93</v>
      </c>
      <c r="N169" s="242">
        <v>0</v>
      </c>
      <c r="O169" s="247"/>
      <c r="P169" s="242">
        <f t="shared" si="5"/>
        <v>0</v>
      </c>
      <c r="Q169" s="247"/>
      <c r="S169" s="246"/>
    </row>
    <row r="170" spans="2:19" ht="16.5" customHeight="1" x14ac:dyDescent="0.45">
      <c r="B170" s="240" t="s">
        <v>566</v>
      </c>
      <c r="C170" s="241">
        <v>33569</v>
      </c>
      <c r="D170" s="242">
        <v>2</v>
      </c>
      <c r="E170" s="256">
        <v>43587</v>
      </c>
      <c r="F170" s="243">
        <v>4806115.75</v>
      </c>
      <c r="G170" s="244">
        <v>17644370</v>
      </c>
      <c r="H170" s="243">
        <f t="shared" si="4"/>
        <v>22450485.75</v>
      </c>
      <c r="I170" s="242">
        <v>1</v>
      </c>
      <c r="J170" s="241">
        <v>43587</v>
      </c>
      <c r="M170" s="242" t="s">
        <v>93</v>
      </c>
      <c r="N170" s="242">
        <v>0</v>
      </c>
      <c r="O170" s="247"/>
      <c r="P170" s="242">
        <f t="shared" si="5"/>
        <v>0</v>
      </c>
      <c r="Q170" s="247"/>
      <c r="S170" s="246"/>
    </row>
    <row r="171" spans="2:19" ht="16.5" customHeight="1" x14ac:dyDescent="0.45">
      <c r="B171" s="240" t="s">
        <v>567</v>
      </c>
      <c r="C171" s="241">
        <v>30797</v>
      </c>
      <c r="D171" s="242">
        <v>1</v>
      </c>
      <c r="E171" s="256">
        <v>43605</v>
      </c>
      <c r="F171" s="243">
        <v>4053818.5</v>
      </c>
      <c r="G171" s="244">
        <v>14682597</v>
      </c>
      <c r="H171" s="243">
        <f t="shared" si="4"/>
        <v>18736415.5</v>
      </c>
      <c r="I171" s="242">
        <v>1</v>
      </c>
      <c r="J171" s="241">
        <v>43605</v>
      </c>
      <c r="M171" s="242" t="s">
        <v>93</v>
      </c>
      <c r="N171" s="242">
        <v>0</v>
      </c>
      <c r="O171" s="247"/>
      <c r="P171" s="242">
        <f t="shared" si="5"/>
        <v>0</v>
      </c>
      <c r="Q171" s="247"/>
      <c r="S171" s="246"/>
    </row>
    <row r="172" spans="2:19" ht="16.5" customHeight="1" x14ac:dyDescent="0.45">
      <c r="B172" s="240" t="s">
        <v>568</v>
      </c>
      <c r="C172" s="241">
        <v>29323</v>
      </c>
      <c r="D172" s="242">
        <v>1</v>
      </c>
      <c r="E172" s="256">
        <v>43605</v>
      </c>
      <c r="F172" s="243">
        <v>8572715.583333334</v>
      </c>
      <c r="G172" s="244">
        <v>31049671</v>
      </c>
      <c r="H172" s="243">
        <f t="shared" si="4"/>
        <v>39622386.583333336</v>
      </c>
      <c r="I172" s="242">
        <v>1</v>
      </c>
      <c r="J172" s="241">
        <v>43605</v>
      </c>
      <c r="M172" s="242" t="s">
        <v>93</v>
      </c>
      <c r="N172" s="242">
        <v>0</v>
      </c>
      <c r="O172" s="247"/>
      <c r="P172" s="242">
        <f t="shared" si="5"/>
        <v>0</v>
      </c>
      <c r="Q172" s="247"/>
      <c r="S172" s="246"/>
    </row>
    <row r="173" spans="2:19" ht="16.5" customHeight="1" x14ac:dyDescent="0.45">
      <c r="B173" s="240" t="s">
        <v>569</v>
      </c>
      <c r="C173" s="241">
        <v>31571</v>
      </c>
      <c r="D173" s="242">
        <v>2</v>
      </c>
      <c r="E173" s="256">
        <v>43605</v>
      </c>
      <c r="F173" s="243">
        <v>3596697.25</v>
      </c>
      <c r="G173" s="244">
        <v>13026942</v>
      </c>
      <c r="H173" s="243">
        <f t="shared" si="4"/>
        <v>16623639.25</v>
      </c>
      <c r="I173" s="242">
        <v>1</v>
      </c>
      <c r="J173" s="241">
        <v>43605</v>
      </c>
      <c r="M173" s="242" t="s">
        <v>93</v>
      </c>
      <c r="N173" s="242">
        <v>0</v>
      </c>
      <c r="O173" s="247"/>
      <c r="P173" s="242">
        <f t="shared" si="5"/>
        <v>0</v>
      </c>
      <c r="Q173" s="247"/>
      <c r="S173" s="246"/>
    </row>
    <row r="174" spans="2:19" ht="16.5" customHeight="1" x14ac:dyDescent="0.45">
      <c r="B174" s="240" t="s">
        <v>570</v>
      </c>
      <c r="C174" s="241">
        <v>30006</v>
      </c>
      <c r="D174" s="242">
        <v>1</v>
      </c>
      <c r="E174" s="256">
        <v>43619</v>
      </c>
      <c r="F174" s="243">
        <v>11538476.583333334</v>
      </c>
      <c r="G174" s="244">
        <v>41348842</v>
      </c>
      <c r="H174" s="243">
        <f t="shared" si="4"/>
        <v>52887318.583333336</v>
      </c>
      <c r="I174" s="242">
        <v>1</v>
      </c>
      <c r="J174" s="241">
        <v>43619</v>
      </c>
      <c r="M174" s="242" t="s">
        <v>93</v>
      </c>
      <c r="N174" s="242">
        <v>0</v>
      </c>
      <c r="O174" s="247"/>
      <c r="P174" s="242">
        <f t="shared" si="5"/>
        <v>0</v>
      </c>
      <c r="Q174" s="247"/>
      <c r="S174" s="246"/>
    </row>
    <row r="175" spans="2:19" ht="16.5" customHeight="1" x14ac:dyDescent="0.45">
      <c r="B175" s="240" t="s">
        <v>571</v>
      </c>
      <c r="C175" s="241">
        <v>30039</v>
      </c>
      <c r="D175" s="242">
        <v>2</v>
      </c>
      <c r="E175" s="256">
        <v>43619</v>
      </c>
      <c r="F175" s="243">
        <v>7515862.5</v>
      </c>
      <c r="G175" s="244">
        <v>26933557</v>
      </c>
      <c r="H175" s="243">
        <f t="shared" si="4"/>
        <v>34449419.5</v>
      </c>
      <c r="I175" s="242">
        <v>1</v>
      </c>
      <c r="J175" s="241">
        <v>43619</v>
      </c>
      <c r="M175" s="242" t="s">
        <v>93</v>
      </c>
      <c r="N175" s="242">
        <v>0</v>
      </c>
      <c r="O175" s="247"/>
      <c r="P175" s="242">
        <f t="shared" si="5"/>
        <v>0</v>
      </c>
      <c r="Q175" s="247"/>
      <c r="S175" s="246"/>
    </row>
    <row r="176" spans="2:19" ht="16.5" customHeight="1" x14ac:dyDescent="0.45">
      <c r="B176" s="240" t="s">
        <v>572</v>
      </c>
      <c r="C176" s="241">
        <v>31023</v>
      </c>
      <c r="D176" s="242">
        <v>2</v>
      </c>
      <c r="E176" s="256">
        <v>43619</v>
      </c>
      <c r="F176" s="243">
        <v>7144168.583333333</v>
      </c>
      <c r="G176" s="244">
        <v>25601569</v>
      </c>
      <c r="H176" s="243">
        <f t="shared" si="4"/>
        <v>32745737.583333332</v>
      </c>
      <c r="I176" s="242">
        <v>1</v>
      </c>
      <c r="J176" s="241">
        <v>43619</v>
      </c>
      <c r="M176" s="242" t="s">
        <v>93</v>
      </c>
      <c r="N176" s="242">
        <v>0</v>
      </c>
      <c r="O176" s="247"/>
      <c r="P176" s="242">
        <f t="shared" si="5"/>
        <v>0</v>
      </c>
      <c r="Q176" s="247"/>
      <c r="S176" s="246"/>
    </row>
    <row r="177" spans="2:19" ht="16.5" customHeight="1" x14ac:dyDescent="0.45">
      <c r="B177" s="240" t="s">
        <v>573</v>
      </c>
      <c r="C177" s="241">
        <v>21913</v>
      </c>
      <c r="D177" s="242">
        <v>1</v>
      </c>
      <c r="E177" s="256">
        <v>43627</v>
      </c>
      <c r="F177" s="243">
        <v>31083340</v>
      </c>
      <c r="G177" s="244">
        <v>278454921</v>
      </c>
      <c r="H177" s="243">
        <f t="shared" si="4"/>
        <v>356163271</v>
      </c>
      <c r="I177" s="242">
        <v>3</v>
      </c>
      <c r="J177" s="241">
        <v>43627</v>
      </c>
      <c r="M177" s="242">
        <v>2.5</v>
      </c>
      <c r="N177" s="242">
        <v>0</v>
      </c>
      <c r="O177" s="247"/>
      <c r="P177" s="242">
        <f t="shared" si="5"/>
        <v>0</v>
      </c>
      <c r="Q177" s="247"/>
      <c r="S177" s="246"/>
    </row>
    <row r="178" spans="2:19" ht="16.5" customHeight="1" x14ac:dyDescent="0.45">
      <c r="B178" s="240" t="s">
        <v>574</v>
      </c>
      <c r="C178" s="241">
        <v>24446</v>
      </c>
      <c r="D178" s="242">
        <v>2</v>
      </c>
      <c r="E178" s="256">
        <v>43627</v>
      </c>
      <c r="F178" s="243">
        <v>20083340</v>
      </c>
      <c r="G178" s="244">
        <v>164283881</v>
      </c>
      <c r="H178" s="243">
        <f t="shared" si="4"/>
        <v>214492231</v>
      </c>
      <c r="I178" s="242">
        <v>3</v>
      </c>
      <c r="J178" s="241">
        <v>43627</v>
      </c>
      <c r="M178" s="242">
        <v>2.5</v>
      </c>
      <c r="N178" s="242">
        <v>0</v>
      </c>
      <c r="O178" s="247"/>
      <c r="P178" s="242">
        <f t="shared" si="5"/>
        <v>0</v>
      </c>
      <c r="Q178" s="247"/>
      <c r="S178" s="246"/>
    </row>
    <row r="179" spans="2:19" ht="16.5" customHeight="1" x14ac:dyDescent="0.45">
      <c r="B179" s="240" t="s">
        <v>575</v>
      </c>
      <c r="C179" s="241">
        <v>29029</v>
      </c>
      <c r="D179" s="242">
        <v>1</v>
      </c>
      <c r="E179" s="256">
        <v>43640</v>
      </c>
      <c r="F179" s="243">
        <v>9566598.5</v>
      </c>
      <c r="G179" s="244">
        <v>33732088</v>
      </c>
      <c r="H179" s="243">
        <f t="shared" si="4"/>
        <v>43298686.5</v>
      </c>
      <c r="I179" s="242">
        <v>1</v>
      </c>
      <c r="J179" s="241">
        <v>43640</v>
      </c>
      <c r="M179" s="242" t="s">
        <v>93</v>
      </c>
      <c r="N179" s="242">
        <v>0</v>
      </c>
      <c r="O179" s="247"/>
      <c r="P179" s="242">
        <f t="shared" si="5"/>
        <v>0</v>
      </c>
      <c r="Q179" s="247"/>
      <c r="S179" s="246"/>
    </row>
    <row r="180" spans="2:19" ht="16.5" customHeight="1" x14ac:dyDescent="0.45">
      <c r="B180" s="240" t="s">
        <v>576</v>
      </c>
      <c r="C180" s="241">
        <v>31198</v>
      </c>
      <c r="D180" s="242">
        <v>2</v>
      </c>
      <c r="E180" s="256">
        <v>43647</v>
      </c>
      <c r="F180" s="243">
        <v>5721631.416666667</v>
      </c>
      <c r="G180" s="244">
        <v>20064899</v>
      </c>
      <c r="H180" s="243">
        <f t="shared" si="4"/>
        <v>25786530.416666668</v>
      </c>
      <c r="I180" s="242">
        <v>1</v>
      </c>
      <c r="J180" s="241">
        <v>43647</v>
      </c>
      <c r="M180" s="242" t="s">
        <v>93</v>
      </c>
      <c r="N180" s="242">
        <v>0</v>
      </c>
      <c r="O180" s="247"/>
      <c r="P180" s="242">
        <f t="shared" si="5"/>
        <v>0</v>
      </c>
      <c r="Q180" s="247"/>
      <c r="S180" s="246"/>
    </row>
    <row r="181" spans="2:19" ht="16.5" customHeight="1" x14ac:dyDescent="0.45">
      <c r="B181" s="240" t="s">
        <v>577</v>
      </c>
      <c r="C181" s="241">
        <v>28400</v>
      </c>
      <c r="D181" s="242">
        <v>2</v>
      </c>
      <c r="E181" s="256">
        <v>43661</v>
      </c>
      <c r="F181" s="243">
        <v>7109720.166666667</v>
      </c>
      <c r="G181" s="244">
        <v>24660016</v>
      </c>
      <c r="H181" s="243">
        <f t="shared" si="4"/>
        <v>31769736.166666668</v>
      </c>
      <c r="I181" s="242">
        <v>1</v>
      </c>
      <c r="J181" s="241">
        <v>43661</v>
      </c>
      <c r="M181" s="242" t="s">
        <v>93</v>
      </c>
      <c r="N181" s="242">
        <v>0</v>
      </c>
      <c r="O181" s="247"/>
      <c r="P181" s="242">
        <f t="shared" si="5"/>
        <v>0</v>
      </c>
      <c r="Q181" s="247"/>
      <c r="S181" s="246"/>
    </row>
    <row r="182" spans="2:19" ht="16.5" customHeight="1" x14ac:dyDescent="0.45">
      <c r="B182" s="240" t="s">
        <v>578</v>
      </c>
      <c r="C182" s="241">
        <v>34102</v>
      </c>
      <c r="D182" s="242">
        <v>2</v>
      </c>
      <c r="E182" s="256">
        <v>43661</v>
      </c>
      <c r="F182" s="243">
        <v>5143115</v>
      </c>
      <c r="G182" s="244">
        <v>17838859</v>
      </c>
      <c r="H182" s="243">
        <f t="shared" si="4"/>
        <v>22981974</v>
      </c>
      <c r="I182" s="242">
        <v>1</v>
      </c>
      <c r="J182" s="241">
        <v>43661</v>
      </c>
      <c r="M182" s="242" t="s">
        <v>93</v>
      </c>
      <c r="N182" s="242">
        <v>0</v>
      </c>
      <c r="O182" s="247"/>
      <c r="P182" s="242">
        <f t="shared" si="5"/>
        <v>0</v>
      </c>
      <c r="Q182" s="247"/>
      <c r="S182" s="246"/>
    </row>
    <row r="183" spans="2:19" ht="16.5" customHeight="1" x14ac:dyDescent="0.45">
      <c r="B183" s="240" t="s">
        <v>579</v>
      </c>
      <c r="C183" s="241">
        <v>28909</v>
      </c>
      <c r="D183" s="242">
        <v>1</v>
      </c>
      <c r="E183" s="256">
        <v>43675</v>
      </c>
      <c r="F183" s="243">
        <v>7085175.416666667</v>
      </c>
      <c r="G183" s="244">
        <v>24303122</v>
      </c>
      <c r="H183" s="243">
        <f t="shared" si="4"/>
        <v>31388297.416666668</v>
      </c>
      <c r="I183" s="242">
        <v>1</v>
      </c>
      <c r="J183" s="241">
        <v>43675</v>
      </c>
      <c r="M183" s="242" t="s">
        <v>93</v>
      </c>
      <c r="N183" s="242">
        <v>0</v>
      </c>
      <c r="O183" s="247"/>
      <c r="P183" s="242">
        <f t="shared" si="5"/>
        <v>0</v>
      </c>
      <c r="Q183" s="247"/>
      <c r="S183" s="246"/>
    </row>
    <row r="184" spans="2:19" ht="16.5" customHeight="1" x14ac:dyDescent="0.45">
      <c r="B184" s="240" t="s">
        <v>580</v>
      </c>
      <c r="C184" s="241">
        <v>33658</v>
      </c>
      <c r="D184" s="242">
        <v>2</v>
      </c>
      <c r="E184" s="256">
        <v>43675</v>
      </c>
      <c r="F184" s="243">
        <v>3172270.5833333335</v>
      </c>
      <c r="G184" s="244">
        <v>10881323</v>
      </c>
      <c r="H184" s="243">
        <f t="shared" si="4"/>
        <v>14053593.583333334</v>
      </c>
      <c r="I184" s="242">
        <v>1</v>
      </c>
      <c r="J184" s="241">
        <v>43675</v>
      </c>
      <c r="M184" s="242" t="s">
        <v>93</v>
      </c>
      <c r="N184" s="242">
        <v>0</v>
      </c>
      <c r="O184" s="247"/>
      <c r="P184" s="242">
        <f t="shared" si="5"/>
        <v>0</v>
      </c>
      <c r="Q184" s="247"/>
      <c r="S184" s="246"/>
    </row>
    <row r="185" spans="2:19" ht="16.5" customHeight="1" x14ac:dyDescent="0.45">
      <c r="B185" s="240" t="s">
        <v>581</v>
      </c>
      <c r="C185" s="241">
        <v>31405</v>
      </c>
      <c r="D185" s="242">
        <v>2</v>
      </c>
      <c r="E185" s="256">
        <v>43682</v>
      </c>
      <c r="F185" s="243">
        <v>7766746.333333333</v>
      </c>
      <c r="G185" s="244">
        <v>26492053</v>
      </c>
      <c r="H185" s="243">
        <f t="shared" si="4"/>
        <v>34258799.333333336</v>
      </c>
      <c r="I185" s="242">
        <v>1</v>
      </c>
      <c r="J185" s="241">
        <v>43682</v>
      </c>
      <c r="M185" s="242" t="s">
        <v>93</v>
      </c>
      <c r="N185" s="242">
        <v>0</v>
      </c>
      <c r="O185" s="247"/>
      <c r="P185" s="242">
        <f t="shared" si="5"/>
        <v>0</v>
      </c>
      <c r="Q185" s="247"/>
      <c r="S185" s="246"/>
    </row>
    <row r="186" spans="2:19" ht="16.5" customHeight="1" x14ac:dyDescent="0.45">
      <c r="B186" s="240" t="s">
        <v>582</v>
      </c>
      <c r="C186" s="241">
        <v>31832</v>
      </c>
      <c r="D186" s="242">
        <v>1</v>
      </c>
      <c r="E186" s="256">
        <v>43685</v>
      </c>
      <c r="F186" s="243">
        <v>4164057.75</v>
      </c>
      <c r="G186" s="244">
        <v>14169205</v>
      </c>
      <c r="H186" s="243">
        <f t="shared" si="4"/>
        <v>18333262.75</v>
      </c>
      <c r="I186" s="242">
        <v>1</v>
      </c>
      <c r="J186" s="241">
        <v>43685</v>
      </c>
      <c r="M186" s="242" t="s">
        <v>93</v>
      </c>
      <c r="N186" s="242">
        <v>0</v>
      </c>
      <c r="O186" s="247"/>
      <c r="P186" s="242">
        <f t="shared" si="5"/>
        <v>0</v>
      </c>
      <c r="Q186" s="247"/>
      <c r="S186" s="246"/>
    </row>
    <row r="187" spans="2:19" ht="16.5" customHeight="1" x14ac:dyDescent="0.45">
      <c r="B187" s="240" t="s">
        <v>583</v>
      </c>
      <c r="C187" s="241">
        <v>27511</v>
      </c>
      <c r="D187" s="242">
        <v>2</v>
      </c>
      <c r="E187" s="256">
        <v>43696</v>
      </c>
      <c r="F187" s="243">
        <v>9923659.083333334</v>
      </c>
      <c r="G187" s="244">
        <v>33468560</v>
      </c>
      <c r="H187" s="243">
        <f t="shared" si="4"/>
        <v>43392219.083333336</v>
      </c>
      <c r="I187" s="242">
        <v>1</v>
      </c>
      <c r="J187" s="241">
        <v>43696</v>
      </c>
      <c r="M187" s="242" t="s">
        <v>93</v>
      </c>
      <c r="N187" s="242">
        <v>0</v>
      </c>
      <c r="O187" s="247"/>
      <c r="P187" s="242">
        <f t="shared" si="5"/>
        <v>0</v>
      </c>
      <c r="Q187" s="247"/>
      <c r="S187" s="246"/>
    </row>
    <row r="188" spans="2:19" ht="16.5" customHeight="1" x14ac:dyDescent="0.45">
      <c r="B188" s="240" t="s">
        <v>584</v>
      </c>
      <c r="C188" s="241">
        <v>30178</v>
      </c>
      <c r="D188" s="242">
        <v>2</v>
      </c>
      <c r="E188" s="256">
        <v>43703</v>
      </c>
      <c r="F188" s="243">
        <v>6513380.25</v>
      </c>
      <c r="G188" s="244">
        <v>21842130</v>
      </c>
      <c r="H188" s="243">
        <f t="shared" si="4"/>
        <v>28355510.25</v>
      </c>
      <c r="I188" s="242">
        <v>1</v>
      </c>
      <c r="J188" s="241">
        <v>43703</v>
      </c>
      <c r="M188" s="242" t="s">
        <v>93</v>
      </c>
      <c r="N188" s="242">
        <v>0</v>
      </c>
      <c r="O188" s="247"/>
      <c r="P188" s="242">
        <f t="shared" si="5"/>
        <v>0</v>
      </c>
      <c r="Q188" s="247"/>
      <c r="S188" s="246"/>
    </row>
    <row r="189" spans="2:19" ht="16.5" customHeight="1" x14ac:dyDescent="0.45">
      <c r="B189" s="240" t="s">
        <v>585</v>
      </c>
      <c r="C189" s="241">
        <v>29312</v>
      </c>
      <c r="D189" s="242">
        <v>1</v>
      </c>
      <c r="E189" s="256">
        <v>43710</v>
      </c>
      <c r="F189" s="243">
        <v>3832350.5</v>
      </c>
      <c r="G189" s="244">
        <v>12778002</v>
      </c>
      <c r="H189" s="243">
        <f t="shared" si="4"/>
        <v>16610352.5</v>
      </c>
      <c r="I189" s="242">
        <v>1</v>
      </c>
      <c r="J189" s="241">
        <v>43710</v>
      </c>
      <c r="M189" s="242" t="s">
        <v>93</v>
      </c>
      <c r="N189" s="242">
        <v>0</v>
      </c>
      <c r="O189" s="247"/>
      <c r="P189" s="242">
        <f t="shared" si="5"/>
        <v>0</v>
      </c>
      <c r="Q189" s="247"/>
      <c r="S189" s="246"/>
    </row>
    <row r="190" spans="2:19" ht="16.5" customHeight="1" x14ac:dyDescent="0.45">
      <c r="B190" s="240" t="s">
        <v>586</v>
      </c>
      <c r="C190" s="241">
        <v>31421</v>
      </c>
      <c r="D190" s="242">
        <v>2</v>
      </c>
      <c r="E190" s="256">
        <v>43710</v>
      </c>
      <c r="F190" s="243">
        <v>6278073</v>
      </c>
      <c r="G190" s="244">
        <v>20932643</v>
      </c>
      <c r="H190" s="243">
        <f t="shared" si="4"/>
        <v>27210716</v>
      </c>
      <c r="I190" s="242">
        <v>1</v>
      </c>
      <c r="J190" s="241">
        <v>43710</v>
      </c>
      <c r="M190" s="242" t="s">
        <v>93</v>
      </c>
      <c r="N190" s="242">
        <v>0</v>
      </c>
      <c r="O190" s="247"/>
      <c r="P190" s="242">
        <f t="shared" si="5"/>
        <v>0</v>
      </c>
      <c r="Q190" s="247"/>
      <c r="S190" s="246"/>
    </row>
    <row r="191" spans="2:19" ht="16.5" customHeight="1" x14ac:dyDescent="0.45">
      <c r="B191" s="240" t="s">
        <v>587</v>
      </c>
      <c r="C191" s="241">
        <v>32430</v>
      </c>
      <c r="D191" s="242">
        <v>2</v>
      </c>
      <c r="E191" s="256">
        <v>43710</v>
      </c>
      <c r="F191" s="243">
        <v>6214197</v>
      </c>
      <c r="G191" s="244">
        <v>18353163</v>
      </c>
      <c r="H191" s="243">
        <f t="shared" si="4"/>
        <v>24567360</v>
      </c>
      <c r="I191" s="242">
        <v>1</v>
      </c>
      <c r="J191" s="241">
        <v>43710</v>
      </c>
      <c r="M191" s="242" t="s">
        <v>93</v>
      </c>
      <c r="N191" s="242">
        <v>139</v>
      </c>
      <c r="O191" s="247"/>
      <c r="P191" s="242">
        <f t="shared" si="5"/>
        <v>0.3797814207650273</v>
      </c>
      <c r="Q191" s="247"/>
      <c r="S191" s="246"/>
    </row>
    <row r="192" spans="2:19" ht="16.5" customHeight="1" x14ac:dyDescent="0.45">
      <c r="B192" s="240" t="s">
        <v>588</v>
      </c>
      <c r="C192" s="241">
        <v>30422</v>
      </c>
      <c r="D192" s="242">
        <v>1</v>
      </c>
      <c r="E192" s="256">
        <v>43724</v>
      </c>
      <c r="F192" s="243">
        <v>8385372.333333333</v>
      </c>
      <c r="G192" s="244">
        <v>27637268</v>
      </c>
      <c r="H192" s="243">
        <f t="shared" si="4"/>
        <v>36022640.333333336</v>
      </c>
      <c r="I192" s="242">
        <v>1</v>
      </c>
      <c r="J192" s="241">
        <v>43724</v>
      </c>
      <c r="M192" s="242" t="s">
        <v>93</v>
      </c>
      <c r="N192" s="242">
        <v>0</v>
      </c>
      <c r="O192" s="247"/>
      <c r="P192" s="242">
        <f t="shared" si="5"/>
        <v>0</v>
      </c>
      <c r="Q192" s="247"/>
      <c r="S192" s="246"/>
    </row>
    <row r="193" spans="2:19" ht="16.5" customHeight="1" x14ac:dyDescent="0.45">
      <c r="B193" s="240" t="s">
        <v>589</v>
      </c>
      <c r="C193" s="241">
        <v>30643</v>
      </c>
      <c r="D193" s="242">
        <v>2</v>
      </c>
      <c r="E193" s="256">
        <v>43724</v>
      </c>
      <c r="F193" s="243">
        <v>8700164.333333334</v>
      </c>
      <c r="G193" s="244">
        <v>28674788</v>
      </c>
      <c r="H193" s="243">
        <f t="shared" si="4"/>
        <v>37374952.333333336</v>
      </c>
      <c r="I193" s="242">
        <v>1</v>
      </c>
      <c r="J193" s="241">
        <v>43724</v>
      </c>
      <c r="M193" s="242" t="s">
        <v>93</v>
      </c>
      <c r="N193" s="242">
        <v>0</v>
      </c>
      <c r="O193" s="247"/>
      <c r="P193" s="242">
        <f t="shared" si="5"/>
        <v>0</v>
      </c>
      <c r="Q193" s="247"/>
      <c r="S193" s="246"/>
    </row>
    <row r="194" spans="2:19" ht="16.5" customHeight="1" x14ac:dyDescent="0.45">
      <c r="B194" s="240" t="s">
        <v>590</v>
      </c>
      <c r="C194" s="241">
        <v>32448</v>
      </c>
      <c r="D194" s="242">
        <v>2</v>
      </c>
      <c r="E194" s="256">
        <v>43724</v>
      </c>
      <c r="F194" s="243">
        <v>5537025.583333333</v>
      </c>
      <c r="G194" s="244">
        <v>18249430</v>
      </c>
      <c r="H194" s="243">
        <f t="shared" si="4"/>
        <v>23786455.583333332</v>
      </c>
      <c r="I194" s="242">
        <v>1</v>
      </c>
      <c r="J194" s="241">
        <v>43724</v>
      </c>
      <c r="M194" s="242" t="s">
        <v>93</v>
      </c>
      <c r="N194" s="242">
        <v>0</v>
      </c>
      <c r="O194" s="247"/>
      <c r="P194" s="242">
        <f t="shared" si="5"/>
        <v>0</v>
      </c>
      <c r="Q194" s="247"/>
      <c r="S194" s="246"/>
    </row>
    <row r="195" spans="2:19" ht="16.5" customHeight="1" x14ac:dyDescent="0.45">
      <c r="B195" s="240" t="s">
        <v>591</v>
      </c>
      <c r="C195" s="241">
        <v>32437</v>
      </c>
      <c r="D195" s="242">
        <v>2</v>
      </c>
      <c r="E195" s="256">
        <v>43724</v>
      </c>
      <c r="F195" s="243">
        <v>6166135.833333333</v>
      </c>
      <c r="G195" s="244">
        <v>20322908</v>
      </c>
      <c r="H195" s="243">
        <f t="shared" ref="H195:H258" si="6">IF(I195=3,G195+F195*M195,G195+F195)</f>
        <v>26489043.833333332</v>
      </c>
      <c r="I195" s="242">
        <v>1</v>
      </c>
      <c r="J195" s="241">
        <v>43724</v>
      </c>
      <c r="M195" s="242" t="s">
        <v>93</v>
      </c>
      <c r="N195" s="242">
        <v>0</v>
      </c>
      <c r="O195" s="247"/>
      <c r="P195" s="242">
        <f t="shared" ref="P195:P258" si="7">N195/366</f>
        <v>0</v>
      </c>
      <c r="Q195" s="247"/>
      <c r="S195" s="246"/>
    </row>
    <row r="196" spans="2:19" ht="16.5" customHeight="1" x14ac:dyDescent="0.45">
      <c r="B196" s="240" t="s">
        <v>592</v>
      </c>
      <c r="C196" s="241">
        <v>23608</v>
      </c>
      <c r="D196" s="242">
        <v>1</v>
      </c>
      <c r="E196" s="256">
        <v>43731</v>
      </c>
      <c r="F196" s="243">
        <v>8494937.333333334</v>
      </c>
      <c r="G196" s="244">
        <v>27835466</v>
      </c>
      <c r="H196" s="243">
        <f t="shared" si="6"/>
        <v>36330403.333333336</v>
      </c>
      <c r="I196" s="242">
        <v>4</v>
      </c>
      <c r="J196" s="241">
        <v>43731</v>
      </c>
      <c r="M196" s="242" t="s">
        <v>93</v>
      </c>
      <c r="N196" s="242">
        <v>0</v>
      </c>
      <c r="O196" s="247"/>
      <c r="P196" s="242">
        <f t="shared" si="7"/>
        <v>0</v>
      </c>
      <c r="Q196" s="247"/>
      <c r="S196" s="246"/>
    </row>
    <row r="197" spans="2:19" ht="16.5" customHeight="1" x14ac:dyDescent="0.45">
      <c r="B197" s="240" t="s">
        <v>593</v>
      </c>
      <c r="C197" s="241">
        <v>32498</v>
      </c>
      <c r="D197" s="242">
        <v>1</v>
      </c>
      <c r="E197" s="256">
        <v>43731</v>
      </c>
      <c r="F197" s="243">
        <v>5193784.416666667</v>
      </c>
      <c r="G197" s="244">
        <v>17018537</v>
      </c>
      <c r="H197" s="243">
        <f t="shared" si="6"/>
        <v>22212321.416666668</v>
      </c>
      <c r="I197" s="242">
        <v>1</v>
      </c>
      <c r="J197" s="241">
        <v>43731</v>
      </c>
      <c r="M197" s="242" t="s">
        <v>93</v>
      </c>
      <c r="N197" s="242">
        <v>0</v>
      </c>
      <c r="O197" s="247"/>
      <c r="P197" s="242">
        <f t="shared" si="7"/>
        <v>0</v>
      </c>
      <c r="Q197" s="247"/>
      <c r="S197" s="246"/>
    </row>
    <row r="198" spans="2:19" ht="16.5" customHeight="1" x14ac:dyDescent="0.45">
      <c r="B198" s="240" t="s">
        <v>594</v>
      </c>
      <c r="C198" s="241">
        <v>29051</v>
      </c>
      <c r="D198" s="242">
        <v>2</v>
      </c>
      <c r="E198" s="256">
        <v>43739</v>
      </c>
      <c r="F198" s="243">
        <v>22750000</v>
      </c>
      <c r="G198" s="244">
        <v>155458334</v>
      </c>
      <c r="H198" s="243">
        <f t="shared" si="6"/>
        <v>212333334</v>
      </c>
      <c r="I198" s="242">
        <v>3</v>
      </c>
      <c r="J198" s="241">
        <v>43739</v>
      </c>
      <c r="M198" s="242">
        <v>2.5</v>
      </c>
      <c r="N198" s="242">
        <v>0</v>
      </c>
      <c r="O198" s="247"/>
      <c r="P198" s="242">
        <f t="shared" si="7"/>
        <v>0</v>
      </c>
      <c r="Q198" s="247"/>
      <c r="S198" s="246"/>
    </row>
    <row r="199" spans="2:19" ht="16.5" customHeight="1" x14ac:dyDescent="0.45">
      <c r="B199" s="240" t="s">
        <v>595</v>
      </c>
      <c r="C199" s="241">
        <v>23658</v>
      </c>
      <c r="D199" s="242">
        <v>2</v>
      </c>
      <c r="E199" s="256">
        <v>43739</v>
      </c>
      <c r="F199" s="243">
        <v>10221528</v>
      </c>
      <c r="G199" s="244">
        <v>33268973</v>
      </c>
      <c r="H199" s="243">
        <f t="shared" si="6"/>
        <v>43490501</v>
      </c>
      <c r="I199" s="242">
        <v>4</v>
      </c>
      <c r="J199" s="241">
        <v>43739</v>
      </c>
      <c r="M199" s="242" t="s">
        <v>93</v>
      </c>
      <c r="N199" s="242">
        <v>0</v>
      </c>
      <c r="O199" s="247"/>
      <c r="P199" s="242">
        <f t="shared" si="7"/>
        <v>0</v>
      </c>
      <c r="Q199" s="247"/>
      <c r="S199" s="246"/>
    </row>
    <row r="200" spans="2:19" ht="16.5" customHeight="1" x14ac:dyDescent="0.45">
      <c r="B200" s="240" t="s">
        <v>596</v>
      </c>
      <c r="C200" s="241">
        <v>26763</v>
      </c>
      <c r="D200" s="242">
        <v>2</v>
      </c>
      <c r="E200" s="256">
        <v>43739</v>
      </c>
      <c r="F200" s="243">
        <v>7431121.333333333</v>
      </c>
      <c r="G200" s="244">
        <v>24186773</v>
      </c>
      <c r="H200" s="243">
        <f t="shared" si="6"/>
        <v>31617894.333333332</v>
      </c>
      <c r="I200" s="242">
        <v>1</v>
      </c>
      <c r="J200" s="241">
        <v>43739</v>
      </c>
      <c r="M200" s="242" t="s">
        <v>93</v>
      </c>
      <c r="N200" s="242">
        <v>0</v>
      </c>
      <c r="O200" s="247"/>
      <c r="P200" s="242">
        <f t="shared" si="7"/>
        <v>0</v>
      </c>
      <c r="Q200" s="247"/>
      <c r="S200" s="246"/>
    </row>
    <row r="201" spans="2:19" ht="16.5" customHeight="1" x14ac:dyDescent="0.45">
      <c r="B201" s="240" t="s">
        <v>597</v>
      </c>
      <c r="C201" s="241">
        <v>32735</v>
      </c>
      <c r="D201" s="242">
        <v>2</v>
      </c>
      <c r="E201" s="256">
        <v>43767</v>
      </c>
      <c r="F201" s="243">
        <v>4468231</v>
      </c>
      <c r="G201" s="244">
        <v>14200405</v>
      </c>
      <c r="H201" s="243">
        <f t="shared" si="6"/>
        <v>18668636</v>
      </c>
      <c r="I201" s="242">
        <v>1</v>
      </c>
      <c r="J201" s="241">
        <v>43767</v>
      </c>
      <c r="M201" s="242" t="s">
        <v>93</v>
      </c>
      <c r="N201" s="242">
        <v>0</v>
      </c>
      <c r="O201" s="247"/>
      <c r="P201" s="242">
        <f t="shared" si="7"/>
        <v>0</v>
      </c>
      <c r="Q201" s="247"/>
      <c r="S201" s="246"/>
    </row>
    <row r="202" spans="2:19" ht="16.5" customHeight="1" x14ac:dyDescent="0.45">
      <c r="B202" s="240" t="s">
        <v>598</v>
      </c>
      <c r="C202" s="241">
        <v>30988</v>
      </c>
      <c r="D202" s="242">
        <v>2</v>
      </c>
      <c r="E202" s="256">
        <v>43773</v>
      </c>
      <c r="F202" s="243">
        <v>7146524</v>
      </c>
      <c r="G202" s="244">
        <v>22594764</v>
      </c>
      <c r="H202" s="243">
        <f t="shared" si="6"/>
        <v>29741288</v>
      </c>
      <c r="I202" s="242">
        <v>1</v>
      </c>
      <c r="J202" s="241">
        <v>43773</v>
      </c>
      <c r="M202" s="242" t="s">
        <v>93</v>
      </c>
      <c r="N202" s="242">
        <v>0</v>
      </c>
      <c r="O202" s="247"/>
      <c r="P202" s="242">
        <f t="shared" si="7"/>
        <v>0</v>
      </c>
      <c r="Q202" s="247"/>
      <c r="S202" s="246"/>
    </row>
    <row r="203" spans="2:19" ht="16.5" customHeight="1" x14ac:dyDescent="0.45">
      <c r="B203" s="240" t="s">
        <v>599</v>
      </c>
      <c r="C203" s="241">
        <v>33843</v>
      </c>
      <c r="D203" s="242">
        <v>2</v>
      </c>
      <c r="E203" s="256">
        <v>43773</v>
      </c>
      <c r="F203" s="243">
        <v>3707611.5833333335</v>
      </c>
      <c r="G203" s="244">
        <v>11722147</v>
      </c>
      <c r="H203" s="243">
        <f t="shared" si="6"/>
        <v>15429758.583333334</v>
      </c>
      <c r="I203" s="242">
        <v>1</v>
      </c>
      <c r="J203" s="241">
        <v>43773</v>
      </c>
      <c r="M203" s="242" t="s">
        <v>93</v>
      </c>
      <c r="N203" s="242">
        <v>0</v>
      </c>
      <c r="O203" s="247"/>
      <c r="P203" s="242">
        <f t="shared" si="7"/>
        <v>0</v>
      </c>
      <c r="Q203" s="247"/>
      <c r="S203" s="246"/>
    </row>
    <row r="204" spans="2:19" ht="16.5" customHeight="1" x14ac:dyDescent="0.45">
      <c r="B204" s="240" t="s">
        <v>600</v>
      </c>
      <c r="C204" s="241">
        <v>30158</v>
      </c>
      <c r="D204" s="242">
        <v>2</v>
      </c>
      <c r="E204" s="256">
        <v>43775</v>
      </c>
      <c r="F204" s="243">
        <v>6926134</v>
      </c>
      <c r="G204" s="244">
        <v>21860017</v>
      </c>
      <c r="H204" s="243">
        <f t="shared" si="6"/>
        <v>28786151</v>
      </c>
      <c r="I204" s="242">
        <v>1</v>
      </c>
      <c r="J204" s="241">
        <v>43775</v>
      </c>
      <c r="M204" s="242" t="s">
        <v>93</v>
      </c>
      <c r="N204" s="242">
        <v>0</v>
      </c>
      <c r="O204" s="247"/>
      <c r="P204" s="242">
        <f t="shared" si="7"/>
        <v>0</v>
      </c>
      <c r="Q204" s="247"/>
      <c r="S204" s="246"/>
    </row>
    <row r="205" spans="2:19" ht="16.5" customHeight="1" x14ac:dyDescent="0.45">
      <c r="B205" s="240" t="s">
        <v>601</v>
      </c>
      <c r="C205" s="241">
        <v>29128</v>
      </c>
      <c r="D205" s="242">
        <v>1</v>
      </c>
      <c r="E205" s="256">
        <v>43787</v>
      </c>
      <c r="F205" s="243">
        <v>11218427.25</v>
      </c>
      <c r="G205" s="244">
        <v>35038376</v>
      </c>
      <c r="H205" s="243">
        <f t="shared" si="6"/>
        <v>46256803.25</v>
      </c>
      <c r="I205" s="242">
        <v>1</v>
      </c>
      <c r="J205" s="241">
        <v>43787</v>
      </c>
      <c r="M205" s="242" t="s">
        <v>93</v>
      </c>
      <c r="N205" s="242">
        <v>0</v>
      </c>
      <c r="O205" s="247"/>
      <c r="P205" s="242">
        <f t="shared" si="7"/>
        <v>0</v>
      </c>
      <c r="Q205" s="247"/>
      <c r="S205" s="246"/>
    </row>
    <row r="206" spans="2:19" ht="16.5" customHeight="1" x14ac:dyDescent="0.45">
      <c r="B206" s="240" t="s">
        <v>602</v>
      </c>
      <c r="C206" s="241">
        <v>33343</v>
      </c>
      <c r="D206" s="242">
        <v>2</v>
      </c>
      <c r="E206" s="256">
        <v>43801</v>
      </c>
      <c r="F206" s="243">
        <v>3268651</v>
      </c>
      <c r="G206" s="244">
        <v>10083564</v>
      </c>
      <c r="H206" s="243">
        <f t="shared" si="6"/>
        <v>13352215</v>
      </c>
      <c r="I206" s="242">
        <v>1</v>
      </c>
      <c r="J206" s="241">
        <v>43801</v>
      </c>
      <c r="M206" s="242" t="s">
        <v>93</v>
      </c>
      <c r="N206" s="242">
        <v>0</v>
      </c>
      <c r="O206" s="247"/>
      <c r="P206" s="242">
        <f t="shared" si="7"/>
        <v>0</v>
      </c>
      <c r="Q206" s="247"/>
      <c r="S206" s="246"/>
    </row>
    <row r="207" spans="2:19" ht="16.5" customHeight="1" x14ac:dyDescent="0.45">
      <c r="B207" s="240" t="s">
        <v>603</v>
      </c>
      <c r="C207" s="241">
        <v>26073</v>
      </c>
      <c r="D207" s="242">
        <v>2</v>
      </c>
      <c r="E207" s="256">
        <v>43808</v>
      </c>
      <c r="F207" s="243">
        <v>6993220.083333333</v>
      </c>
      <c r="G207" s="244">
        <v>21439488</v>
      </c>
      <c r="H207" s="243">
        <f t="shared" si="6"/>
        <v>28432708.083333332</v>
      </c>
      <c r="I207" s="242">
        <v>4</v>
      </c>
      <c r="J207" s="241">
        <v>43808</v>
      </c>
      <c r="M207" s="242" t="s">
        <v>93</v>
      </c>
      <c r="N207" s="242">
        <v>0</v>
      </c>
      <c r="O207" s="247"/>
      <c r="P207" s="242">
        <f t="shared" si="7"/>
        <v>0</v>
      </c>
      <c r="Q207" s="247"/>
      <c r="S207" s="246"/>
    </row>
    <row r="208" spans="2:19" ht="16.5" customHeight="1" x14ac:dyDescent="0.45">
      <c r="B208" s="240" t="s">
        <v>604</v>
      </c>
      <c r="C208" s="241">
        <v>32133</v>
      </c>
      <c r="D208" s="242">
        <v>2</v>
      </c>
      <c r="E208" s="256">
        <v>43815</v>
      </c>
      <c r="F208" s="243">
        <v>3700985.3333333335</v>
      </c>
      <c r="G208" s="244">
        <v>11275331</v>
      </c>
      <c r="H208" s="243">
        <f t="shared" si="6"/>
        <v>14976316.333333334</v>
      </c>
      <c r="I208" s="242">
        <v>1</v>
      </c>
      <c r="J208" s="241">
        <v>43815</v>
      </c>
      <c r="M208" s="242" t="s">
        <v>93</v>
      </c>
      <c r="N208" s="242">
        <v>0</v>
      </c>
      <c r="O208" s="247"/>
      <c r="P208" s="242">
        <f t="shared" si="7"/>
        <v>0</v>
      </c>
      <c r="Q208" s="247"/>
      <c r="S208" s="246"/>
    </row>
    <row r="209" spans="2:19" ht="16.5" customHeight="1" x14ac:dyDescent="0.45">
      <c r="B209" s="240" t="s">
        <v>605</v>
      </c>
      <c r="C209" s="241">
        <v>28084</v>
      </c>
      <c r="D209" s="242">
        <v>1</v>
      </c>
      <c r="E209" s="256">
        <v>43822</v>
      </c>
      <c r="F209" s="243">
        <v>9838002.083333334</v>
      </c>
      <c r="G209" s="244">
        <v>29783541</v>
      </c>
      <c r="H209" s="243">
        <f t="shared" si="6"/>
        <v>39621543.083333336</v>
      </c>
      <c r="I209" s="242">
        <v>1</v>
      </c>
      <c r="J209" s="241">
        <v>43822</v>
      </c>
      <c r="M209" s="242" t="s">
        <v>93</v>
      </c>
      <c r="N209" s="242">
        <v>0</v>
      </c>
      <c r="O209" s="247"/>
      <c r="P209" s="242">
        <f t="shared" si="7"/>
        <v>0</v>
      </c>
      <c r="Q209" s="247"/>
      <c r="S209" s="246"/>
    </row>
    <row r="210" spans="2:19" ht="16.5" customHeight="1" x14ac:dyDescent="0.45">
      <c r="B210" s="240" t="s">
        <v>606</v>
      </c>
      <c r="C210" s="241">
        <v>24765</v>
      </c>
      <c r="D210" s="242">
        <v>1</v>
      </c>
      <c r="E210" s="256">
        <v>43831</v>
      </c>
      <c r="F210" s="243">
        <v>27230840</v>
      </c>
      <c r="G210" s="244">
        <v>204231300</v>
      </c>
      <c r="H210" s="243">
        <f t="shared" si="6"/>
        <v>272308400</v>
      </c>
      <c r="I210" s="242">
        <v>3</v>
      </c>
      <c r="J210" s="241">
        <v>43831</v>
      </c>
      <c r="M210" s="242">
        <v>2.5</v>
      </c>
      <c r="N210" s="242">
        <v>0</v>
      </c>
      <c r="O210" s="247"/>
      <c r="P210" s="242">
        <f t="shared" si="7"/>
        <v>0</v>
      </c>
      <c r="Q210" s="247"/>
      <c r="S210" s="246"/>
    </row>
    <row r="211" spans="2:19" ht="16.5" customHeight="1" x14ac:dyDescent="0.45">
      <c r="B211" s="240" t="s">
        <v>607</v>
      </c>
      <c r="C211" s="241">
        <v>30398</v>
      </c>
      <c r="D211" s="242">
        <v>1</v>
      </c>
      <c r="E211" s="256">
        <v>43843</v>
      </c>
      <c r="F211" s="243">
        <v>7913530.333333333</v>
      </c>
      <c r="G211" s="244">
        <v>23502101</v>
      </c>
      <c r="H211" s="243">
        <f t="shared" si="6"/>
        <v>31415631.333333332</v>
      </c>
      <c r="I211" s="242">
        <v>1</v>
      </c>
      <c r="J211" s="241">
        <v>43843</v>
      </c>
      <c r="M211" s="242" t="s">
        <v>93</v>
      </c>
      <c r="N211" s="242">
        <v>0</v>
      </c>
      <c r="O211" s="247"/>
      <c r="P211" s="242">
        <f t="shared" si="7"/>
        <v>0</v>
      </c>
      <c r="Q211" s="247"/>
      <c r="S211" s="246"/>
    </row>
    <row r="212" spans="2:19" ht="16.5" customHeight="1" x14ac:dyDescent="0.45">
      <c r="B212" s="240" t="s">
        <v>608</v>
      </c>
      <c r="C212" s="241">
        <v>29979</v>
      </c>
      <c r="D212" s="242">
        <v>2</v>
      </c>
      <c r="E212" s="256">
        <v>43864</v>
      </c>
      <c r="F212" s="243">
        <v>7125531.166666667</v>
      </c>
      <c r="G212" s="244">
        <v>20751889</v>
      </c>
      <c r="H212" s="243">
        <f t="shared" si="6"/>
        <v>27877420.166666668</v>
      </c>
      <c r="I212" s="242">
        <v>1</v>
      </c>
      <c r="J212" s="241">
        <v>43864</v>
      </c>
      <c r="M212" s="242" t="s">
        <v>93</v>
      </c>
      <c r="N212" s="242">
        <v>0</v>
      </c>
      <c r="O212" s="247"/>
      <c r="P212" s="242">
        <f t="shared" si="7"/>
        <v>0</v>
      </c>
      <c r="Q212" s="247"/>
      <c r="S212" s="246"/>
    </row>
    <row r="213" spans="2:19" ht="16.5" customHeight="1" x14ac:dyDescent="0.45">
      <c r="B213" s="240" t="s">
        <v>609</v>
      </c>
      <c r="C213" s="241">
        <v>30347</v>
      </c>
      <c r="D213" s="242">
        <v>1</v>
      </c>
      <c r="E213" s="256">
        <v>43864</v>
      </c>
      <c r="F213" s="243">
        <v>7111643.666666667</v>
      </c>
      <c r="G213" s="244">
        <v>20711444</v>
      </c>
      <c r="H213" s="243">
        <f t="shared" si="6"/>
        <v>27823087.666666668</v>
      </c>
      <c r="I213" s="242">
        <v>1</v>
      </c>
      <c r="J213" s="241">
        <v>43864</v>
      </c>
      <c r="M213" s="242" t="s">
        <v>93</v>
      </c>
      <c r="N213" s="242">
        <v>0</v>
      </c>
      <c r="O213" s="247"/>
      <c r="P213" s="242">
        <f t="shared" si="7"/>
        <v>0</v>
      </c>
      <c r="Q213" s="247"/>
      <c r="S213" s="246"/>
    </row>
    <row r="214" spans="2:19" ht="16.5" customHeight="1" x14ac:dyDescent="0.45">
      <c r="B214" s="240" t="s">
        <v>610</v>
      </c>
      <c r="C214" s="241">
        <v>35340</v>
      </c>
      <c r="D214" s="242">
        <v>2</v>
      </c>
      <c r="E214" s="256">
        <v>43871</v>
      </c>
      <c r="F214" s="243">
        <v>4225718.25</v>
      </c>
      <c r="G214" s="244">
        <v>12225640</v>
      </c>
      <c r="H214" s="243">
        <f t="shared" si="6"/>
        <v>16451358.25</v>
      </c>
      <c r="I214" s="242">
        <v>1</v>
      </c>
      <c r="J214" s="241">
        <v>43871</v>
      </c>
      <c r="M214" s="242" t="s">
        <v>93</v>
      </c>
      <c r="N214" s="242">
        <v>0</v>
      </c>
      <c r="O214" s="247"/>
      <c r="P214" s="242">
        <f t="shared" si="7"/>
        <v>0</v>
      </c>
      <c r="Q214" s="247"/>
      <c r="S214" s="246"/>
    </row>
    <row r="215" spans="2:19" ht="16.5" customHeight="1" x14ac:dyDescent="0.45">
      <c r="B215" s="240" t="s">
        <v>611</v>
      </c>
      <c r="C215" s="241">
        <v>31316</v>
      </c>
      <c r="D215" s="242">
        <v>2</v>
      </c>
      <c r="E215" s="256">
        <v>43878</v>
      </c>
      <c r="F215" s="243">
        <v>7220539.833333333</v>
      </c>
      <c r="G215" s="244">
        <v>20751634</v>
      </c>
      <c r="H215" s="243">
        <f t="shared" si="6"/>
        <v>27972173.833333332</v>
      </c>
      <c r="I215" s="242">
        <v>1</v>
      </c>
      <c r="J215" s="241">
        <v>43878</v>
      </c>
      <c r="M215" s="242" t="s">
        <v>93</v>
      </c>
      <c r="N215" s="242">
        <v>0</v>
      </c>
      <c r="O215" s="247"/>
      <c r="P215" s="242">
        <f t="shared" si="7"/>
        <v>0</v>
      </c>
      <c r="Q215" s="247"/>
      <c r="S215" s="246"/>
    </row>
    <row r="216" spans="2:19" ht="16.5" customHeight="1" x14ac:dyDescent="0.45">
      <c r="B216" s="240" t="s">
        <v>612</v>
      </c>
      <c r="C216" s="241">
        <v>32609</v>
      </c>
      <c r="D216" s="242">
        <v>2</v>
      </c>
      <c r="E216" s="256">
        <v>43878</v>
      </c>
      <c r="F216" s="243">
        <v>3091883</v>
      </c>
      <c r="G216" s="244">
        <v>8885987</v>
      </c>
      <c r="H216" s="243">
        <f t="shared" si="6"/>
        <v>11977870</v>
      </c>
      <c r="I216" s="242">
        <v>1</v>
      </c>
      <c r="J216" s="241">
        <v>43878</v>
      </c>
      <c r="M216" s="242" t="s">
        <v>93</v>
      </c>
      <c r="N216" s="242">
        <v>0</v>
      </c>
      <c r="O216" s="247"/>
      <c r="P216" s="242">
        <f t="shared" si="7"/>
        <v>0</v>
      </c>
      <c r="Q216" s="247"/>
      <c r="S216" s="246"/>
    </row>
    <row r="217" spans="2:19" ht="16.5" customHeight="1" x14ac:dyDescent="0.45">
      <c r="B217" s="240" t="s">
        <v>613</v>
      </c>
      <c r="C217" s="241">
        <v>34561</v>
      </c>
      <c r="D217" s="242">
        <v>2</v>
      </c>
      <c r="E217" s="256">
        <v>43885</v>
      </c>
      <c r="F217" s="243">
        <v>5473000.083333333</v>
      </c>
      <c r="G217" s="244">
        <v>15624291</v>
      </c>
      <c r="H217" s="243">
        <f t="shared" si="6"/>
        <v>21097291.083333332</v>
      </c>
      <c r="I217" s="242">
        <v>1</v>
      </c>
      <c r="J217" s="241">
        <v>43885</v>
      </c>
      <c r="M217" s="242" t="s">
        <v>93</v>
      </c>
      <c r="N217" s="242">
        <v>0</v>
      </c>
      <c r="O217" s="247"/>
      <c r="P217" s="242">
        <f t="shared" si="7"/>
        <v>0</v>
      </c>
      <c r="Q217" s="247"/>
      <c r="S217" s="246"/>
    </row>
    <row r="218" spans="2:19" ht="16.5" customHeight="1" x14ac:dyDescent="0.45">
      <c r="B218" s="240" t="s">
        <v>614</v>
      </c>
      <c r="C218" s="241">
        <v>27591</v>
      </c>
      <c r="D218" s="242">
        <v>1</v>
      </c>
      <c r="E218" s="256">
        <v>43892</v>
      </c>
      <c r="F218" s="243">
        <v>15019043.416666666</v>
      </c>
      <c r="G218" s="244">
        <v>42588246</v>
      </c>
      <c r="H218" s="243">
        <f t="shared" si="6"/>
        <v>57607289.416666664</v>
      </c>
      <c r="I218" s="242">
        <v>1</v>
      </c>
      <c r="J218" s="241">
        <v>43892</v>
      </c>
      <c r="M218" s="242" t="s">
        <v>93</v>
      </c>
      <c r="N218" s="242">
        <v>0</v>
      </c>
      <c r="O218" s="247"/>
      <c r="P218" s="242">
        <f t="shared" si="7"/>
        <v>0</v>
      </c>
      <c r="Q218" s="247"/>
      <c r="S218" s="246"/>
    </row>
    <row r="219" spans="2:19" ht="16.5" customHeight="1" x14ac:dyDescent="0.45">
      <c r="B219" s="240" t="s">
        <v>615</v>
      </c>
      <c r="C219" s="241">
        <v>32056</v>
      </c>
      <c r="D219" s="242">
        <v>1</v>
      </c>
      <c r="E219" s="256">
        <v>43899</v>
      </c>
      <c r="F219" s="243">
        <v>4525529.333333333</v>
      </c>
      <c r="G219" s="244">
        <v>12745874</v>
      </c>
      <c r="H219" s="243">
        <f t="shared" si="6"/>
        <v>17271403.333333332</v>
      </c>
      <c r="I219" s="242">
        <v>1</v>
      </c>
      <c r="J219" s="241">
        <v>43899</v>
      </c>
      <c r="M219" s="242" t="s">
        <v>93</v>
      </c>
      <c r="N219" s="242">
        <v>0</v>
      </c>
      <c r="O219" s="247"/>
      <c r="P219" s="242">
        <f t="shared" si="7"/>
        <v>0</v>
      </c>
      <c r="Q219" s="247"/>
      <c r="S219" s="246"/>
    </row>
    <row r="220" spans="2:19" ht="16.5" customHeight="1" x14ac:dyDescent="0.45">
      <c r="B220" s="240" t="s">
        <v>616</v>
      </c>
      <c r="C220" s="241">
        <v>30868</v>
      </c>
      <c r="D220" s="242">
        <v>2</v>
      </c>
      <c r="E220" s="256">
        <v>43913</v>
      </c>
      <c r="F220" s="243">
        <v>3063203</v>
      </c>
      <c r="G220" s="244">
        <v>8509830</v>
      </c>
      <c r="H220" s="243">
        <f t="shared" si="6"/>
        <v>11573033</v>
      </c>
      <c r="I220" s="242">
        <v>1</v>
      </c>
      <c r="J220" s="241">
        <v>43913</v>
      </c>
      <c r="M220" s="242" t="s">
        <v>93</v>
      </c>
      <c r="N220" s="242">
        <v>0</v>
      </c>
      <c r="O220" s="247"/>
      <c r="P220" s="242">
        <f t="shared" si="7"/>
        <v>0</v>
      </c>
      <c r="Q220" s="247"/>
      <c r="S220" s="246"/>
    </row>
    <row r="221" spans="2:19" ht="16.5" customHeight="1" x14ac:dyDescent="0.45">
      <c r="B221" s="240" t="s">
        <v>617</v>
      </c>
      <c r="C221" s="241">
        <v>32254</v>
      </c>
      <c r="D221" s="242">
        <v>1</v>
      </c>
      <c r="E221" s="256">
        <v>43934</v>
      </c>
      <c r="F221" s="243">
        <v>5679195.5</v>
      </c>
      <c r="G221" s="244">
        <v>15450524</v>
      </c>
      <c r="H221" s="243">
        <f t="shared" si="6"/>
        <v>21129719.5</v>
      </c>
      <c r="I221" s="242">
        <v>1</v>
      </c>
      <c r="J221" s="241">
        <v>43934</v>
      </c>
      <c r="M221" s="242" t="s">
        <v>93</v>
      </c>
      <c r="N221" s="242">
        <v>0</v>
      </c>
      <c r="O221" s="247"/>
      <c r="P221" s="242">
        <f t="shared" si="7"/>
        <v>0</v>
      </c>
      <c r="Q221" s="247"/>
      <c r="S221" s="246"/>
    </row>
    <row r="222" spans="2:19" ht="16.5" customHeight="1" x14ac:dyDescent="0.45">
      <c r="B222" s="240" t="s">
        <v>618</v>
      </c>
      <c r="C222" s="241">
        <v>25879</v>
      </c>
      <c r="D222" s="242">
        <v>1</v>
      </c>
      <c r="E222" s="256">
        <v>43955</v>
      </c>
      <c r="F222" s="243">
        <v>11195569.416666666</v>
      </c>
      <c r="G222" s="244">
        <v>29813955</v>
      </c>
      <c r="H222" s="243">
        <f t="shared" si="6"/>
        <v>41009524.416666664</v>
      </c>
      <c r="I222" s="242">
        <v>4</v>
      </c>
      <c r="J222" s="241">
        <v>43955</v>
      </c>
      <c r="M222" s="242" t="s">
        <v>93</v>
      </c>
      <c r="N222" s="242">
        <v>0</v>
      </c>
      <c r="O222" s="247"/>
      <c r="P222" s="242">
        <f t="shared" si="7"/>
        <v>0</v>
      </c>
      <c r="Q222" s="247"/>
      <c r="S222" s="246"/>
    </row>
    <row r="223" spans="2:19" ht="16.5" customHeight="1" x14ac:dyDescent="0.45">
      <c r="B223" s="240" t="s">
        <v>619</v>
      </c>
      <c r="C223" s="241">
        <v>30615</v>
      </c>
      <c r="D223" s="242">
        <v>1</v>
      </c>
      <c r="E223" s="256">
        <v>43955</v>
      </c>
      <c r="F223" s="243">
        <v>7867193.333333333</v>
      </c>
      <c r="G223" s="244">
        <v>20950444</v>
      </c>
      <c r="H223" s="243">
        <f t="shared" si="6"/>
        <v>28817637.333333332</v>
      </c>
      <c r="I223" s="242">
        <v>1</v>
      </c>
      <c r="J223" s="241">
        <v>43955</v>
      </c>
      <c r="M223" s="242" t="s">
        <v>93</v>
      </c>
      <c r="N223" s="242">
        <v>0</v>
      </c>
      <c r="O223" s="247"/>
      <c r="P223" s="242">
        <f t="shared" si="7"/>
        <v>0</v>
      </c>
      <c r="Q223" s="247"/>
      <c r="S223" s="246"/>
    </row>
    <row r="224" spans="2:19" ht="16.5" customHeight="1" x14ac:dyDescent="0.45">
      <c r="B224" s="240" t="s">
        <v>620</v>
      </c>
      <c r="C224" s="241">
        <v>27439</v>
      </c>
      <c r="D224" s="242">
        <v>1</v>
      </c>
      <c r="E224" s="256">
        <v>43962</v>
      </c>
      <c r="F224" s="243">
        <v>9501768.666666666</v>
      </c>
      <c r="G224" s="244">
        <v>25121114</v>
      </c>
      <c r="H224" s="243">
        <f t="shared" si="6"/>
        <v>34622882.666666664</v>
      </c>
      <c r="I224" s="242">
        <v>1</v>
      </c>
      <c r="J224" s="241">
        <v>43962</v>
      </c>
      <c r="M224" s="242" t="s">
        <v>93</v>
      </c>
      <c r="N224" s="242">
        <v>0</v>
      </c>
      <c r="O224" s="247"/>
      <c r="P224" s="242">
        <f t="shared" si="7"/>
        <v>0</v>
      </c>
      <c r="Q224" s="247"/>
      <c r="S224" s="246"/>
    </row>
    <row r="225" spans="2:19" ht="16.5" customHeight="1" x14ac:dyDescent="0.45">
      <c r="B225" s="240" t="s">
        <v>621</v>
      </c>
      <c r="C225" s="241">
        <v>32671</v>
      </c>
      <c r="D225" s="242">
        <v>2</v>
      </c>
      <c r="E225" s="256">
        <v>43962</v>
      </c>
      <c r="F225" s="243">
        <v>3643069.3333333335</v>
      </c>
      <c r="G225" s="244">
        <v>9631676</v>
      </c>
      <c r="H225" s="243">
        <f t="shared" si="6"/>
        <v>13274745.333333334</v>
      </c>
      <c r="I225" s="242">
        <v>1</v>
      </c>
      <c r="J225" s="241">
        <v>43962</v>
      </c>
      <c r="M225" s="242" t="s">
        <v>93</v>
      </c>
      <c r="N225" s="242">
        <v>0</v>
      </c>
      <c r="O225" s="247"/>
      <c r="P225" s="242">
        <f t="shared" si="7"/>
        <v>0</v>
      </c>
      <c r="Q225" s="247"/>
      <c r="S225" s="246"/>
    </row>
    <row r="226" spans="2:19" ht="16.5" customHeight="1" x14ac:dyDescent="0.45">
      <c r="B226" s="240" t="s">
        <v>622</v>
      </c>
      <c r="C226" s="241">
        <v>34473</v>
      </c>
      <c r="D226" s="242">
        <v>2</v>
      </c>
      <c r="E226" s="256">
        <v>43969</v>
      </c>
      <c r="F226" s="243">
        <v>4157352.5</v>
      </c>
      <c r="G226" s="244">
        <v>10911627</v>
      </c>
      <c r="H226" s="243">
        <f t="shared" si="6"/>
        <v>15068979.5</v>
      </c>
      <c r="I226" s="242">
        <v>1</v>
      </c>
      <c r="J226" s="241">
        <v>43969</v>
      </c>
      <c r="M226" s="242" t="s">
        <v>93</v>
      </c>
      <c r="N226" s="242">
        <v>0</v>
      </c>
      <c r="O226" s="247"/>
      <c r="P226" s="242">
        <f t="shared" si="7"/>
        <v>0</v>
      </c>
      <c r="Q226" s="247"/>
      <c r="S226" s="246"/>
    </row>
    <row r="227" spans="2:19" ht="16.5" customHeight="1" x14ac:dyDescent="0.45">
      <c r="B227" s="240" t="s">
        <v>623</v>
      </c>
      <c r="C227" s="241">
        <v>33214</v>
      </c>
      <c r="D227" s="242">
        <v>2</v>
      </c>
      <c r="E227" s="256">
        <v>43969</v>
      </c>
      <c r="F227" s="243">
        <v>3048635</v>
      </c>
      <c r="G227" s="244">
        <v>8001623</v>
      </c>
      <c r="H227" s="243">
        <f t="shared" si="6"/>
        <v>11050258</v>
      </c>
      <c r="I227" s="242">
        <v>1</v>
      </c>
      <c r="J227" s="241">
        <v>43969</v>
      </c>
      <c r="M227" s="242" t="s">
        <v>93</v>
      </c>
      <c r="N227" s="242">
        <v>0</v>
      </c>
      <c r="O227" s="247"/>
      <c r="P227" s="242">
        <f t="shared" si="7"/>
        <v>0</v>
      </c>
      <c r="Q227" s="247"/>
      <c r="S227" s="246"/>
    </row>
    <row r="228" spans="2:19" ht="16.5" customHeight="1" x14ac:dyDescent="0.45">
      <c r="B228" s="240" t="s">
        <v>624</v>
      </c>
      <c r="C228" s="241">
        <v>32458</v>
      </c>
      <c r="D228" s="242">
        <v>1</v>
      </c>
      <c r="E228" s="256">
        <v>43983</v>
      </c>
      <c r="F228" s="243">
        <v>6683656.25</v>
      </c>
      <c r="G228" s="244">
        <v>17285949</v>
      </c>
      <c r="H228" s="243">
        <f t="shared" si="6"/>
        <v>23969605.25</v>
      </c>
      <c r="I228" s="242">
        <v>1</v>
      </c>
      <c r="J228" s="241">
        <v>43983</v>
      </c>
      <c r="M228" s="242" t="s">
        <v>93</v>
      </c>
      <c r="N228" s="242">
        <v>0</v>
      </c>
      <c r="O228" s="247"/>
      <c r="P228" s="242">
        <f t="shared" si="7"/>
        <v>0</v>
      </c>
      <c r="Q228" s="247"/>
      <c r="S228" s="246"/>
    </row>
    <row r="229" spans="2:19" ht="16.5" customHeight="1" x14ac:dyDescent="0.45">
      <c r="B229" s="240" t="s">
        <v>625</v>
      </c>
      <c r="C229" s="241">
        <v>33243</v>
      </c>
      <c r="D229" s="242">
        <v>2</v>
      </c>
      <c r="E229" s="256">
        <v>43983</v>
      </c>
      <c r="F229" s="243">
        <v>6223612.666666667</v>
      </c>
      <c r="G229" s="244">
        <v>16096138</v>
      </c>
      <c r="H229" s="243">
        <f t="shared" si="6"/>
        <v>22319750.666666668</v>
      </c>
      <c r="I229" s="242">
        <v>1</v>
      </c>
      <c r="J229" s="241">
        <v>43983</v>
      </c>
      <c r="M229" s="242" t="s">
        <v>93</v>
      </c>
      <c r="N229" s="242">
        <v>0</v>
      </c>
      <c r="O229" s="247"/>
      <c r="P229" s="242">
        <f t="shared" si="7"/>
        <v>0</v>
      </c>
      <c r="Q229" s="247"/>
      <c r="S229" s="246"/>
    </row>
    <row r="230" spans="2:19" ht="16.5" customHeight="1" x14ac:dyDescent="0.45">
      <c r="B230" s="240" t="s">
        <v>626</v>
      </c>
      <c r="C230" s="241">
        <v>35027</v>
      </c>
      <c r="D230" s="242">
        <v>1</v>
      </c>
      <c r="E230" s="256">
        <v>43983</v>
      </c>
      <c r="F230" s="243">
        <v>4120670.0833333335</v>
      </c>
      <c r="G230" s="244">
        <v>10657295</v>
      </c>
      <c r="H230" s="243">
        <f t="shared" si="6"/>
        <v>14777965.083333334</v>
      </c>
      <c r="I230" s="242">
        <v>1</v>
      </c>
      <c r="J230" s="241">
        <v>43983</v>
      </c>
      <c r="M230" s="242" t="s">
        <v>93</v>
      </c>
      <c r="N230" s="242">
        <v>0</v>
      </c>
      <c r="O230" s="247"/>
      <c r="P230" s="242">
        <f t="shared" si="7"/>
        <v>0</v>
      </c>
      <c r="Q230" s="247"/>
      <c r="S230" s="246"/>
    </row>
    <row r="231" spans="2:19" ht="16.5" customHeight="1" x14ac:dyDescent="0.45">
      <c r="B231" s="240" t="s">
        <v>627</v>
      </c>
      <c r="C231" s="241">
        <v>31836</v>
      </c>
      <c r="D231" s="242">
        <v>2</v>
      </c>
      <c r="E231" s="256">
        <v>43990</v>
      </c>
      <c r="F231" s="243">
        <v>2988635</v>
      </c>
      <c r="G231" s="244">
        <v>7672195</v>
      </c>
      <c r="H231" s="243">
        <f t="shared" si="6"/>
        <v>10660830</v>
      </c>
      <c r="I231" s="242">
        <v>1</v>
      </c>
      <c r="J231" s="241">
        <v>43990</v>
      </c>
      <c r="M231" s="242" t="s">
        <v>93</v>
      </c>
      <c r="N231" s="242">
        <v>0</v>
      </c>
      <c r="O231" s="247"/>
      <c r="P231" s="242">
        <f t="shared" si="7"/>
        <v>0</v>
      </c>
      <c r="Q231" s="247"/>
      <c r="S231" s="246"/>
    </row>
    <row r="232" spans="2:19" ht="16.5" customHeight="1" x14ac:dyDescent="0.45">
      <c r="B232" s="240" t="s">
        <v>628</v>
      </c>
      <c r="C232" s="241">
        <v>26900</v>
      </c>
      <c r="D232" s="242">
        <v>1</v>
      </c>
      <c r="E232" s="256">
        <v>44013</v>
      </c>
      <c r="F232" s="243">
        <v>9391045.916666666</v>
      </c>
      <c r="G232" s="244">
        <v>23516208</v>
      </c>
      <c r="H232" s="243">
        <f t="shared" si="6"/>
        <v>32907253.916666664</v>
      </c>
      <c r="I232" s="242">
        <v>1</v>
      </c>
      <c r="J232" s="241">
        <v>44013</v>
      </c>
      <c r="M232" s="242" t="s">
        <v>93</v>
      </c>
      <c r="N232" s="242">
        <v>0</v>
      </c>
      <c r="O232" s="247"/>
      <c r="P232" s="242">
        <f t="shared" si="7"/>
        <v>0</v>
      </c>
      <c r="Q232" s="247"/>
      <c r="S232" s="246"/>
    </row>
    <row r="233" spans="2:19" ht="16.5" customHeight="1" x14ac:dyDescent="0.45">
      <c r="B233" s="240" t="s">
        <v>629</v>
      </c>
      <c r="C233" s="241">
        <v>35811</v>
      </c>
      <c r="D233" s="242">
        <v>2</v>
      </c>
      <c r="E233" s="256">
        <v>44015</v>
      </c>
      <c r="F233" s="243">
        <v>3057467</v>
      </c>
      <c r="G233" s="244">
        <v>7639479</v>
      </c>
      <c r="H233" s="243">
        <f t="shared" si="6"/>
        <v>10696946</v>
      </c>
      <c r="I233" s="242">
        <v>1</v>
      </c>
      <c r="J233" s="241">
        <v>44015</v>
      </c>
      <c r="M233" s="242" t="s">
        <v>93</v>
      </c>
      <c r="N233" s="242">
        <v>0</v>
      </c>
      <c r="O233" s="247"/>
      <c r="P233" s="242">
        <f t="shared" si="7"/>
        <v>0</v>
      </c>
      <c r="Q233" s="247"/>
      <c r="S233" s="246"/>
    </row>
    <row r="234" spans="2:19" ht="16.5" customHeight="1" x14ac:dyDescent="0.45">
      <c r="B234" s="240" t="s">
        <v>630</v>
      </c>
      <c r="C234" s="241">
        <v>24407</v>
      </c>
      <c r="D234" s="242">
        <v>1</v>
      </c>
      <c r="E234" s="256">
        <v>44018</v>
      </c>
      <c r="F234" s="243">
        <v>14694885</v>
      </c>
      <c r="G234" s="244">
        <v>91843032</v>
      </c>
      <c r="H234" s="243">
        <f t="shared" si="6"/>
        <v>128580244.5</v>
      </c>
      <c r="I234" s="242">
        <v>3</v>
      </c>
      <c r="J234" s="241">
        <v>44018</v>
      </c>
      <c r="M234" s="242">
        <v>2.5</v>
      </c>
      <c r="N234" s="242">
        <v>0</v>
      </c>
      <c r="O234" s="247"/>
      <c r="P234" s="242">
        <f t="shared" si="7"/>
        <v>0</v>
      </c>
      <c r="Q234" s="247"/>
      <c r="S234" s="246"/>
    </row>
    <row r="235" spans="2:19" ht="16.5" customHeight="1" x14ac:dyDescent="0.45">
      <c r="B235" s="240" t="s">
        <v>631</v>
      </c>
      <c r="C235" s="241">
        <v>32715</v>
      </c>
      <c r="D235" s="242">
        <v>2</v>
      </c>
      <c r="E235" s="256">
        <v>44032</v>
      </c>
      <c r="F235" s="243">
        <v>3145526.6666666665</v>
      </c>
      <c r="G235" s="244">
        <v>7713004</v>
      </c>
      <c r="H235" s="243">
        <f t="shared" si="6"/>
        <v>10858530.666666666</v>
      </c>
      <c r="I235" s="242">
        <v>1</v>
      </c>
      <c r="J235" s="241">
        <v>44032</v>
      </c>
      <c r="M235" s="242" t="s">
        <v>93</v>
      </c>
      <c r="N235" s="242">
        <v>0</v>
      </c>
      <c r="O235" s="247"/>
      <c r="P235" s="242">
        <f t="shared" si="7"/>
        <v>0</v>
      </c>
      <c r="Q235" s="247"/>
      <c r="S235" s="246"/>
    </row>
    <row r="236" spans="2:19" ht="16.5" customHeight="1" x14ac:dyDescent="0.45">
      <c r="B236" s="240" t="s">
        <v>632</v>
      </c>
      <c r="C236" s="241">
        <v>26774</v>
      </c>
      <c r="D236" s="242">
        <v>1</v>
      </c>
      <c r="E236" s="256">
        <v>44036</v>
      </c>
      <c r="F236" s="243">
        <v>13881585.666666666</v>
      </c>
      <c r="G236" s="244">
        <v>33886282</v>
      </c>
      <c r="H236" s="243">
        <f t="shared" si="6"/>
        <v>47767867.666666664</v>
      </c>
      <c r="I236" s="242">
        <v>1</v>
      </c>
      <c r="J236" s="241">
        <v>44036</v>
      </c>
      <c r="M236" s="242" t="s">
        <v>93</v>
      </c>
      <c r="N236" s="242">
        <v>0</v>
      </c>
      <c r="O236" s="247"/>
      <c r="P236" s="242">
        <f t="shared" si="7"/>
        <v>0</v>
      </c>
      <c r="Q236" s="247"/>
      <c r="S236" s="246"/>
    </row>
    <row r="237" spans="2:19" ht="16.5" customHeight="1" x14ac:dyDescent="0.45">
      <c r="B237" s="240" t="s">
        <v>633</v>
      </c>
      <c r="C237" s="241">
        <v>29406</v>
      </c>
      <c r="D237" s="242">
        <v>2</v>
      </c>
      <c r="E237" s="256">
        <v>44061</v>
      </c>
      <c r="F237" s="243">
        <v>8506960.166666666</v>
      </c>
      <c r="G237" s="244">
        <v>20183637</v>
      </c>
      <c r="H237" s="243">
        <f t="shared" si="6"/>
        <v>28690597.166666664</v>
      </c>
      <c r="I237" s="242">
        <v>1</v>
      </c>
      <c r="J237" s="241">
        <v>44061</v>
      </c>
      <c r="M237" s="242" t="s">
        <v>93</v>
      </c>
      <c r="N237" s="242">
        <v>0</v>
      </c>
      <c r="O237" s="247"/>
      <c r="P237" s="242">
        <f t="shared" si="7"/>
        <v>0</v>
      </c>
      <c r="Q237" s="247"/>
      <c r="S237" s="246"/>
    </row>
    <row r="238" spans="2:19" ht="16.5" customHeight="1" x14ac:dyDescent="0.45">
      <c r="B238" s="240" t="s">
        <v>634</v>
      </c>
      <c r="C238" s="241">
        <v>30568</v>
      </c>
      <c r="D238" s="242">
        <v>2</v>
      </c>
      <c r="E238" s="256">
        <v>44061</v>
      </c>
      <c r="F238" s="243">
        <v>5751075.25</v>
      </c>
      <c r="G238" s="244">
        <v>13645017</v>
      </c>
      <c r="H238" s="243">
        <f t="shared" si="6"/>
        <v>19396092.25</v>
      </c>
      <c r="I238" s="242">
        <v>1</v>
      </c>
      <c r="J238" s="241">
        <v>44061</v>
      </c>
      <c r="M238" s="242" t="s">
        <v>93</v>
      </c>
      <c r="N238" s="242">
        <v>0</v>
      </c>
      <c r="O238" s="247"/>
      <c r="P238" s="242">
        <f t="shared" si="7"/>
        <v>0</v>
      </c>
      <c r="Q238" s="247"/>
      <c r="S238" s="246"/>
    </row>
    <row r="239" spans="2:19" ht="16.5" customHeight="1" x14ac:dyDescent="0.45">
      <c r="B239" s="240" t="s">
        <v>635</v>
      </c>
      <c r="C239" s="241">
        <v>35093</v>
      </c>
      <c r="D239" s="242">
        <v>2</v>
      </c>
      <c r="E239" s="256">
        <v>44075</v>
      </c>
      <c r="F239" s="243">
        <v>4089830.0833333335</v>
      </c>
      <c r="G239" s="244">
        <v>9546672</v>
      </c>
      <c r="H239" s="243">
        <f t="shared" si="6"/>
        <v>13636502.083333334</v>
      </c>
      <c r="I239" s="242">
        <v>1</v>
      </c>
      <c r="J239" s="241">
        <v>44075</v>
      </c>
      <c r="M239" s="242" t="s">
        <v>93</v>
      </c>
      <c r="N239" s="242">
        <v>0</v>
      </c>
      <c r="O239" s="247"/>
      <c r="P239" s="242">
        <f t="shared" si="7"/>
        <v>0</v>
      </c>
      <c r="Q239" s="247"/>
      <c r="S239" s="246"/>
    </row>
    <row r="240" spans="2:19" ht="16.5" customHeight="1" x14ac:dyDescent="0.45">
      <c r="B240" s="240" t="s">
        <v>636</v>
      </c>
      <c r="C240" s="241">
        <v>27031</v>
      </c>
      <c r="D240" s="242">
        <v>2</v>
      </c>
      <c r="E240" s="256">
        <v>44081</v>
      </c>
      <c r="F240" s="243">
        <v>6690505.333333333</v>
      </c>
      <c r="G240" s="244">
        <v>15507308</v>
      </c>
      <c r="H240" s="243">
        <f t="shared" si="6"/>
        <v>22197813.333333332</v>
      </c>
      <c r="I240" s="242">
        <v>4</v>
      </c>
      <c r="J240" s="241">
        <v>44081</v>
      </c>
      <c r="M240" s="242" t="s">
        <v>93</v>
      </c>
      <c r="N240" s="242">
        <v>0</v>
      </c>
      <c r="O240" s="247"/>
      <c r="P240" s="242">
        <f t="shared" si="7"/>
        <v>0</v>
      </c>
      <c r="Q240" s="247"/>
      <c r="S240" s="246"/>
    </row>
    <row r="241" spans="2:19" ht="16.5" customHeight="1" x14ac:dyDescent="0.45">
      <c r="B241" s="240" t="s">
        <v>637</v>
      </c>
      <c r="C241" s="241">
        <v>27701</v>
      </c>
      <c r="D241" s="242">
        <v>2</v>
      </c>
      <c r="E241" s="256">
        <v>44090</v>
      </c>
      <c r="F241" s="243">
        <v>6130522.666666667</v>
      </c>
      <c r="G241" s="244">
        <v>14058212</v>
      </c>
      <c r="H241" s="243">
        <f t="shared" si="6"/>
        <v>20188734.666666668</v>
      </c>
      <c r="I241" s="242">
        <v>1</v>
      </c>
      <c r="J241" s="241">
        <v>44090</v>
      </c>
      <c r="M241" s="242" t="s">
        <v>93</v>
      </c>
      <c r="N241" s="242">
        <v>0</v>
      </c>
      <c r="O241" s="247"/>
      <c r="P241" s="242">
        <f t="shared" si="7"/>
        <v>0</v>
      </c>
      <c r="Q241" s="247"/>
      <c r="S241" s="246"/>
    </row>
    <row r="242" spans="2:19" ht="16.5" customHeight="1" x14ac:dyDescent="0.45">
      <c r="B242" s="240" t="s">
        <v>638</v>
      </c>
      <c r="C242" s="241">
        <v>32523</v>
      </c>
      <c r="D242" s="242">
        <v>2</v>
      </c>
      <c r="E242" s="256">
        <v>44116</v>
      </c>
      <c r="F242" s="243">
        <v>3349097.25</v>
      </c>
      <c r="G242" s="244">
        <v>7441419</v>
      </c>
      <c r="H242" s="243">
        <f t="shared" si="6"/>
        <v>10790516.25</v>
      </c>
      <c r="I242" s="242">
        <v>1</v>
      </c>
      <c r="J242" s="241">
        <v>44116</v>
      </c>
      <c r="M242" s="242" t="s">
        <v>93</v>
      </c>
      <c r="N242" s="242">
        <v>0</v>
      </c>
      <c r="O242" s="247"/>
      <c r="P242" s="242">
        <f t="shared" si="7"/>
        <v>0</v>
      </c>
      <c r="Q242" s="247"/>
      <c r="S242" s="246"/>
    </row>
    <row r="243" spans="2:19" ht="16.5" customHeight="1" x14ac:dyDescent="0.45">
      <c r="B243" s="240" t="s">
        <v>639</v>
      </c>
      <c r="C243" s="241">
        <v>28659</v>
      </c>
      <c r="D243" s="242">
        <v>1</v>
      </c>
      <c r="E243" s="256">
        <v>44123</v>
      </c>
      <c r="F243" s="243">
        <v>7068502.083333333</v>
      </c>
      <c r="G243" s="244">
        <v>15570070</v>
      </c>
      <c r="H243" s="243">
        <f t="shared" si="6"/>
        <v>22638572.083333332</v>
      </c>
      <c r="I243" s="242">
        <v>1</v>
      </c>
      <c r="J243" s="241">
        <v>44123</v>
      </c>
      <c r="M243" s="242" t="s">
        <v>93</v>
      </c>
      <c r="N243" s="242">
        <v>0</v>
      </c>
      <c r="O243" s="247"/>
      <c r="P243" s="242">
        <f t="shared" si="7"/>
        <v>0</v>
      </c>
      <c r="Q243" s="247"/>
      <c r="S243" s="246"/>
    </row>
    <row r="244" spans="2:19" ht="16.5" customHeight="1" x14ac:dyDescent="0.45">
      <c r="B244" s="240" t="s">
        <v>640</v>
      </c>
      <c r="C244" s="241">
        <v>33998</v>
      </c>
      <c r="D244" s="242">
        <v>2</v>
      </c>
      <c r="E244" s="256">
        <v>44123</v>
      </c>
      <c r="F244" s="243">
        <v>4478601.666666667</v>
      </c>
      <c r="G244" s="244">
        <v>9865194</v>
      </c>
      <c r="H244" s="243">
        <f t="shared" si="6"/>
        <v>14343795.666666668</v>
      </c>
      <c r="I244" s="242">
        <v>1</v>
      </c>
      <c r="J244" s="241">
        <v>44123</v>
      </c>
      <c r="M244" s="242" t="s">
        <v>93</v>
      </c>
      <c r="N244" s="242">
        <v>0</v>
      </c>
      <c r="O244" s="247"/>
      <c r="P244" s="242">
        <f t="shared" si="7"/>
        <v>0</v>
      </c>
      <c r="Q244" s="247"/>
      <c r="S244" s="246"/>
    </row>
    <row r="245" spans="2:19" ht="16.5" customHeight="1" x14ac:dyDescent="0.45">
      <c r="B245" s="240" t="s">
        <v>641</v>
      </c>
      <c r="C245" s="241">
        <v>31666</v>
      </c>
      <c r="D245" s="242">
        <v>2</v>
      </c>
      <c r="E245" s="256">
        <v>44123</v>
      </c>
      <c r="F245" s="243">
        <v>3426664.75</v>
      </c>
      <c r="G245" s="244">
        <v>7548051</v>
      </c>
      <c r="H245" s="243">
        <f t="shared" si="6"/>
        <v>10974715.75</v>
      </c>
      <c r="I245" s="242">
        <v>1</v>
      </c>
      <c r="J245" s="241">
        <v>44123</v>
      </c>
      <c r="M245" s="242" t="s">
        <v>93</v>
      </c>
      <c r="N245" s="242">
        <v>0</v>
      </c>
      <c r="O245" s="247"/>
      <c r="P245" s="242">
        <f t="shared" si="7"/>
        <v>0</v>
      </c>
      <c r="Q245" s="247"/>
      <c r="S245" s="246"/>
    </row>
    <row r="246" spans="2:19" ht="16.5" customHeight="1" x14ac:dyDescent="0.45">
      <c r="B246" s="240" t="s">
        <v>642</v>
      </c>
      <c r="C246" s="241">
        <v>32466</v>
      </c>
      <c r="D246" s="242">
        <v>2</v>
      </c>
      <c r="E246" s="256">
        <v>44137</v>
      </c>
      <c r="F246" s="243">
        <v>3127359.5</v>
      </c>
      <c r="G246" s="244">
        <v>6768805</v>
      </c>
      <c r="H246" s="243">
        <f t="shared" si="6"/>
        <v>9896164.5</v>
      </c>
      <c r="I246" s="242">
        <v>1</v>
      </c>
      <c r="J246" s="241">
        <v>44137</v>
      </c>
      <c r="M246" s="242" t="s">
        <v>93</v>
      </c>
      <c r="N246" s="242">
        <v>0</v>
      </c>
      <c r="O246" s="247"/>
      <c r="P246" s="242">
        <f t="shared" si="7"/>
        <v>0</v>
      </c>
      <c r="Q246" s="247"/>
      <c r="S246" s="246"/>
    </row>
    <row r="247" spans="2:19" ht="16.5" customHeight="1" x14ac:dyDescent="0.45">
      <c r="B247" s="240" t="s">
        <v>643</v>
      </c>
      <c r="C247" s="241">
        <v>31854</v>
      </c>
      <c r="D247" s="242">
        <v>2</v>
      </c>
      <c r="E247" s="256">
        <v>44158</v>
      </c>
      <c r="F247" s="243">
        <v>8453117.25</v>
      </c>
      <c r="G247" s="244">
        <v>17809444</v>
      </c>
      <c r="H247" s="243">
        <f t="shared" si="6"/>
        <v>26262561.25</v>
      </c>
      <c r="I247" s="242">
        <v>1</v>
      </c>
      <c r="J247" s="241">
        <v>44158</v>
      </c>
      <c r="M247" s="242" t="s">
        <v>93</v>
      </c>
      <c r="N247" s="242">
        <v>0</v>
      </c>
      <c r="O247" s="247"/>
      <c r="P247" s="242">
        <f t="shared" si="7"/>
        <v>0</v>
      </c>
      <c r="Q247" s="247"/>
      <c r="S247" s="246"/>
    </row>
    <row r="248" spans="2:19" ht="16.5" customHeight="1" x14ac:dyDescent="0.45">
      <c r="B248" s="240" t="s">
        <v>644</v>
      </c>
      <c r="C248" s="241">
        <v>31524</v>
      </c>
      <c r="D248" s="242">
        <v>1</v>
      </c>
      <c r="E248" s="256">
        <v>44158</v>
      </c>
      <c r="F248" s="243">
        <v>5806574.583333333</v>
      </c>
      <c r="G248" s="244">
        <v>12233578</v>
      </c>
      <c r="H248" s="243">
        <f t="shared" si="6"/>
        <v>18040152.583333332</v>
      </c>
      <c r="I248" s="242">
        <v>1</v>
      </c>
      <c r="J248" s="241">
        <v>44158</v>
      </c>
      <c r="M248" s="242" t="s">
        <v>93</v>
      </c>
      <c r="N248" s="242">
        <v>0</v>
      </c>
      <c r="O248" s="247"/>
      <c r="P248" s="242">
        <f t="shared" si="7"/>
        <v>0</v>
      </c>
      <c r="Q248" s="247"/>
      <c r="S248" s="246"/>
    </row>
    <row r="249" spans="2:19" ht="16.5" customHeight="1" x14ac:dyDescent="0.45">
      <c r="B249" s="240" t="s">
        <v>645</v>
      </c>
      <c r="C249" s="241">
        <v>33359</v>
      </c>
      <c r="D249" s="242">
        <v>2</v>
      </c>
      <c r="E249" s="256">
        <v>44166</v>
      </c>
      <c r="F249" s="243">
        <v>5363198.166666667</v>
      </c>
      <c r="G249" s="244">
        <v>11181901</v>
      </c>
      <c r="H249" s="243">
        <f t="shared" si="6"/>
        <v>16545099.166666668</v>
      </c>
      <c r="I249" s="242">
        <v>1</v>
      </c>
      <c r="J249" s="241">
        <v>44166</v>
      </c>
      <c r="M249" s="242" t="s">
        <v>93</v>
      </c>
      <c r="N249" s="242">
        <v>0</v>
      </c>
      <c r="O249" s="247"/>
      <c r="P249" s="242">
        <f t="shared" si="7"/>
        <v>0</v>
      </c>
      <c r="Q249" s="247"/>
      <c r="S249" s="246"/>
    </row>
    <row r="250" spans="2:19" ht="16.5" customHeight="1" x14ac:dyDescent="0.45">
      <c r="B250" s="240" t="s">
        <v>646</v>
      </c>
      <c r="C250" s="241">
        <v>30362</v>
      </c>
      <c r="D250" s="242">
        <v>2</v>
      </c>
      <c r="E250" s="256">
        <v>44179</v>
      </c>
      <c r="F250" s="243">
        <v>3034523</v>
      </c>
      <c r="G250" s="244">
        <v>6218694</v>
      </c>
      <c r="H250" s="243">
        <f t="shared" si="6"/>
        <v>9253217</v>
      </c>
      <c r="I250" s="242">
        <v>1</v>
      </c>
      <c r="J250" s="241">
        <v>44179</v>
      </c>
      <c r="M250" s="242" t="s">
        <v>93</v>
      </c>
      <c r="N250" s="242">
        <v>0</v>
      </c>
      <c r="O250" s="247"/>
      <c r="P250" s="242">
        <f t="shared" si="7"/>
        <v>0</v>
      </c>
      <c r="Q250" s="247"/>
      <c r="S250" s="246"/>
    </row>
    <row r="251" spans="2:19" ht="16.5" customHeight="1" x14ac:dyDescent="0.45">
      <c r="B251" s="240" t="s">
        <v>647</v>
      </c>
      <c r="C251" s="241">
        <v>25434</v>
      </c>
      <c r="D251" s="242">
        <v>1</v>
      </c>
      <c r="E251" s="256">
        <v>44200</v>
      </c>
      <c r="F251" s="264">
        <v>26564590</v>
      </c>
      <c r="G251" s="264">
        <v>132822950</v>
      </c>
      <c r="H251" s="264">
        <f t="shared" si="6"/>
        <v>199234425</v>
      </c>
      <c r="I251" s="242">
        <v>3</v>
      </c>
      <c r="J251" s="241">
        <v>44200</v>
      </c>
      <c r="M251" s="242">
        <v>2.5</v>
      </c>
      <c r="N251" s="242">
        <v>0</v>
      </c>
      <c r="P251" s="242">
        <f t="shared" si="7"/>
        <v>0</v>
      </c>
    </row>
    <row r="252" spans="2:19" ht="16.5" customHeight="1" x14ac:dyDescent="0.45">
      <c r="B252" s="240" t="s">
        <v>648</v>
      </c>
      <c r="C252" s="241">
        <v>24524</v>
      </c>
      <c r="D252" s="242">
        <v>2</v>
      </c>
      <c r="E252" s="256">
        <v>44200</v>
      </c>
      <c r="F252" s="264">
        <v>7542787</v>
      </c>
      <c r="G252" s="264">
        <v>15023578</v>
      </c>
      <c r="H252" s="264">
        <f t="shared" si="6"/>
        <v>22566365</v>
      </c>
      <c r="I252" s="242">
        <v>4</v>
      </c>
      <c r="J252" s="241">
        <v>44200</v>
      </c>
      <c r="M252" s="242" t="s">
        <v>93</v>
      </c>
      <c r="N252" s="242">
        <v>0</v>
      </c>
      <c r="P252" s="242">
        <f t="shared" si="7"/>
        <v>0</v>
      </c>
    </row>
    <row r="253" spans="2:19" ht="16.5" customHeight="1" x14ac:dyDescent="0.45">
      <c r="B253" s="240" t="s">
        <v>649</v>
      </c>
      <c r="C253" s="241">
        <v>22703</v>
      </c>
      <c r="D253" s="242">
        <v>2</v>
      </c>
      <c r="E253" s="256">
        <v>44201</v>
      </c>
      <c r="F253" s="264">
        <v>17083340</v>
      </c>
      <c r="G253" s="264">
        <v>85416700</v>
      </c>
      <c r="H253" s="264">
        <f t="shared" si="6"/>
        <v>128125050</v>
      </c>
      <c r="I253" s="242">
        <v>3</v>
      </c>
      <c r="J253" s="241">
        <v>44201</v>
      </c>
      <c r="M253" s="242">
        <v>2.5</v>
      </c>
      <c r="N253" s="242">
        <v>0</v>
      </c>
      <c r="P253" s="242">
        <f t="shared" si="7"/>
        <v>0</v>
      </c>
    </row>
    <row r="254" spans="2:19" ht="16.5" customHeight="1" x14ac:dyDescent="0.45">
      <c r="B254" s="240" t="s">
        <v>650</v>
      </c>
      <c r="C254" s="241">
        <v>29127</v>
      </c>
      <c r="D254" s="242">
        <v>1</v>
      </c>
      <c r="E254" s="256">
        <v>44207</v>
      </c>
      <c r="F254" s="264">
        <v>6825958</v>
      </c>
      <c r="G254" s="264">
        <v>13464903</v>
      </c>
      <c r="H254" s="264">
        <f>IF(I254=3,G254+F254*M254,G254+F254)</f>
        <v>20290861</v>
      </c>
      <c r="I254" s="242">
        <v>1</v>
      </c>
      <c r="J254" s="241">
        <v>44207</v>
      </c>
      <c r="M254" s="242" t="s">
        <v>93</v>
      </c>
      <c r="N254" s="242">
        <v>0</v>
      </c>
      <c r="P254" s="242">
        <f t="shared" si="7"/>
        <v>0</v>
      </c>
    </row>
    <row r="255" spans="2:19" ht="16.5" customHeight="1" x14ac:dyDescent="0.45">
      <c r="B255" s="240" t="s">
        <v>651</v>
      </c>
      <c r="C255" s="241">
        <v>29513</v>
      </c>
      <c r="D255" s="242">
        <v>1</v>
      </c>
      <c r="E255" s="256">
        <v>44207</v>
      </c>
      <c r="F255" s="264">
        <v>4910237</v>
      </c>
      <c r="G255" s="264">
        <v>9685947</v>
      </c>
      <c r="H255" s="264">
        <f t="shared" si="6"/>
        <v>14596184</v>
      </c>
      <c r="I255" s="242">
        <v>4</v>
      </c>
      <c r="J255" s="241">
        <v>44207</v>
      </c>
      <c r="M255" s="242" t="s">
        <v>93</v>
      </c>
      <c r="N255" s="242">
        <v>0</v>
      </c>
      <c r="P255" s="242">
        <f t="shared" si="7"/>
        <v>0</v>
      </c>
    </row>
    <row r="256" spans="2:19" ht="16.5" customHeight="1" x14ac:dyDescent="0.45">
      <c r="B256" s="240" t="s">
        <v>652</v>
      </c>
      <c r="C256" s="241">
        <v>31979</v>
      </c>
      <c r="D256" s="242">
        <v>2</v>
      </c>
      <c r="E256" s="256">
        <v>44214</v>
      </c>
      <c r="F256" s="264">
        <v>7617900</v>
      </c>
      <c r="G256" s="264">
        <v>14880994</v>
      </c>
      <c r="H256" s="264">
        <f t="shared" si="6"/>
        <v>22498894</v>
      </c>
      <c r="I256" s="242">
        <v>1</v>
      </c>
      <c r="J256" s="241">
        <v>44214</v>
      </c>
      <c r="M256" s="242" t="s">
        <v>93</v>
      </c>
      <c r="N256" s="242">
        <v>0</v>
      </c>
      <c r="P256" s="242">
        <f t="shared" si="7"/>
        <v>0</v>
      </c>
    </row>
    <row r="257" spans="2:16" ht="16.5" customHeight="1" x14ac:dyDescent="0.45">
      <c r="B257" s="240" t="s">
        <v>653</v>
      </c>
      <c r="C257" s="241">
        <v>24360</v>
      </c>
      <c r="D257" s="242">
        <v>1</v>
      </c>
      <c r="E257" s="256">
        <v>44228</v>
      </c>
      <c r="F257" s="264">
        <v>7653333</v>
      </c>
      <c r="G257" s="264">
        <v>14656657</v>
      </c>
      <c r="H257" s="264">
        <f t="shared" si="6"/>
        <v>22309990</v>
      </c>
      <c r="I257" s="242">
        <v>4</v>
      </c>
      <c r="J257" s="241">
        <v>44228</v>
      </c>
      <c r="M257" s="242" t="s">
        <v>93</v>
      </c>
      <c r="N257" s="242">
        <v>0</v>
      </c>
      <c r="P257" s="242">
        <f t="shared" si="7"/>
        <v>0</v>
      </c>
    </row>
    <row r="258" spans="2:16" ht="16.5" customHeight="1" x14ac:dyDescent="0.45">
      <c r="B258" s="240" t="s">
        <v>654</v>
      </c>
      <c r="C258" s="241">
        <v>33758</v>
      </c>
      <c r="D258" s="242">
        <v>1</v>
      </c>
      <c r="E258" s="256">
        <v>44228</v>
      </c>
      <c r="F258" s="264">
        <v>4015651</v>
      </c>
      <c r="G258" s="264">
        <v>7690247</v>
      </c>
      <c r="H258" s="264">
        <f t="shared" si="6"/>
        <v>11705898</v>
      </c>
      <c r="I258" s="242">
        <v>1</v>
      </c>
      <c r="J258" s="241">
        <v>44228</v>
      </c>
      <c r="M258" s="242" t="s">
        <v>93</v>
      </c>
      <c r="N258" s="242">
        <v>0</v>
      </c>
      <c r="P258" s="242">
        <f t="shared" si="7"/>
        <v>0</v>
      </c>
    </row>
    <row r="259" spans="2:16" ht="16.5" customHeight="1" x14ac:dyDescent="0.45">
      <c r="B259" s="240" t="s">
        <v>655</v>
      </c>
      <c r="C259" s="241">
        <v>31191</v>
      </c>
      <c r="D259" s="242">
        <v>2</v>
      </c>
      <c r="E259" s="256">
        <v>44249</v>
      </c>
      <c r="F259" s="264">
        <v>7920000</v>
      </c>
      <c r="G259" s="264">
        <v>14711671</v>
      </c>
      <c r="H259" s="264">
        <f t="shared" ref="H259:H322" si="8">IF(I259=3,G259+F259*M259,G259+F259)</f>
        <v>22631671</v>
      </c>
      <c r="I259" s="242">
        <v>1</v>
      </c>
      <c r="J259" s="241">
        <v>44249</v>
      </c>
      <c r="M259" s="242" t="s">
        <v>93</v>
      </c>
      <c r="N259" s="242">
        <v>0</v>
      </c>
      <c r="P259" s="242">
        <f t="shared" ref="P259:P322" si="9">N259/366</f>
        <v>0</v>
      </c>
    </row>
    <row r="260" spans="2:16" ht="16.5" customHeight="1" x14ac:dyDescent="0.45">
      <c r="B260" s="240" t="s">
        <v>656</v>
      </c>
      <c r="C260" s="241">
        <v>29536</v>
      </c>
      <c r="D260" s="242">
        <v>2</v>
      </c>
      <c r="E260" s="256">
        <v>44257</v>
      </c>
      <c r="F260" s="264">
        <v>5373633</v>
      </c>
      <c r="G260" s="264">
        <v>9863929</v>
      </c>
      <c r="H260" s="264">
        <f t="shared" si="8"/>
        <v>15237562</v>
      </c>
      <c r="I260" s="242">
        <v>4</v>
      </c>
      <c r="J260" s="241">
        <v>44257</v>
      </c>
      <c r="M260" s="242" t="s">
        <v>93</v>
      </c>
      <c r="N260" s="242">
        <v>0</v>
      </c>
      <c r="P260" s="242">
        <f t="shared" si="9"/>
        <v>0</v>
      </c>
    </row>
    <row r="261" spans="2:16" ht="16.5" customHeight="1" x14ac:dyDescent="0.45">
      <c r="B261" s="240" t="s">
        <v>657</v>
      </c>
      <c r="C261" s="241">
        <v>33647</v>
      </c>
      <c r="D261" s="242">
        <v>2</v>
      </c>
      <c r="E261" s="256">
        <v>44257</v>
      </c>
      <c r="F261" s="264">
        <v>5689928</v>
      </c>
      <c r="G261" s="264">
        <v>10444525</v>
      </c>
      <c r="H261" s="264">
        <f t="shared" si="8"/>
        <v>16134453</v>
      </c>
      <c r="I261" s="242">
        <v>1</v>
      </c>
      <c r="J261" s="241">
        <v>44257</v>
      </c>
      <c r="M261" s="242" t="s">
        <v>93</v>
      </c>
      <c r="N261" s="242">
        <v>0</v>
      </c>
      <c r="P261" s="242">
        <f t="shared" si="9"/>
        <v>0</v>
      </c>
    </row>
    <row r="262" spans="2:16" ht="16.5" customHeight="1" x14ac:dyDescent="0.45">
      <c r="B262" s="240" t="s">
        <v>658</v>
      </c>
      <c r="C262" s="241">
        <v>32453</v>
      </c>
      <c r="D262" s="242">
        <v>1</v>
      </c>
      <c r="E262" s="256">
        <v>44270</v>
      </c>
      <c r="F262" s="264">
        <v>7221338</v>
      </c>
      <c r="G262" s="264">
        <v>12998408</v>
      </c>
      <c r="H262" s="264">
        <f t="shared" si="8"/>
        <v>20219746</v>
      </c>
      <c r="I262" s="242">
        <v>1</v>
      </c>
      <c r="J262" s="241">
        <v>44270</v>
      </c>
      <c r="M262" s="242" t="s">
        <v>93</v>
      </c>
      <c r="N262" s="242">
        <v>0</v>
      </c>
      <c r="P262" s="242">
        <f t="shared" si="9"/>
        <v>0</v>
      </c>
    </row>
    <row r="263" spans="2:16" ht="16.5" customHeight="1" x14ac:dyDescent="0.45">
      <c r="B263" s="240" t="s">
        <v>659</v>
      </c>
      <c r="C263" s="241">
        <v>33644</v>
      </c>
      <c r="D263" s="242">
        <v>1</v>
      </c>
      <c r="E263" s="256">
        <v>44270</v>
      </c>
      <c r="F263" s="264">
        <v>4015651</v>
      </c>
      <c r="G263" s="264">
        <v>7228172</v>
      </c>
      <c r="H263" s="264">
        <f t="shared" si="8"/>
        <v>11243823</v>
      </c>
      <c r="I263" s="242">
        <v>1</v>
      </c>
      <c r="J263" s="241">
        <v>44270</v>
      </c>
      <c r="M263" s="242" t="s">
        <v>93</v>
      </c>
      <c r="N263" s="242">
        <v>0</v>
      </c>
      <c r="P263" s="242">
        <f t="shared" si="9"/>
        <v>0</v>
      </c>
    </row>
    <row r="264" spans="2:16" ht="16.5" customHeight="1" x14ac:dyDescent="0.45">
      <c r="B264" s="240" t="s">
        <v>660</v>
      </c>
      <c r="C264" s="241">
        <v>34145</v>
      </c>
      <c r="D264" s="242">
        <v>1</v>
      </c>
      <c r="E264" s="256">
        <v>44270</v>
      </c>
      <c r="F264" s="264">
        <v>4015651</v>
      </c>
      <c r="G264" s="264">
        <v>7228172</v>
      </c>
      <c r="H264" s="264">
        <f t="shared" si="8"/>
        <v>11243823</v>
      </c>
      <c r="I264" s="242">
        <v>1</v>
      </c>
      <c r="J264" s="241">
        <v>44270</v>
      </c>
      <c r="M264" s="242" t="s">
        <v>93</v>
      </c>
      <c r="N264" s="242">
        <v>0</v>
      </c>
      <c r="P264" s="242">
        <f t="shared" si="9"/>
        <v>0</v>
      </c>
    </row>
    <row r="265" spans="2:16" ht="16.5" customHeight="1" x14ac:dyDescent="0.45">
      <c r="B265" s="240" t="s">
        <v>661</v>
      </c>
      <c r="C265" s="241">
        <v>34494</v>
      </c>
      <c r="D265" s="242">
        <v>1</v>
      </c>
      <c r="E265" s="256">
        <v>44270</v>
      </c>
      <c r="F265" s="264">
        <v>4874594</v>
      </c>
      <c r="G265" s="264">
        <v>8774269</v>
      </c>
      <c r="H265" s="264">
        <f t="shared" si="8"/>
        <v>13648863</v>
      </c>
      <c r="I265" s="242">
        <v>1</v>
      </c>
      <c r="J265" s="241">
        <v>44270</v>
      </c>
      <c r="M265" s="242" t="s">
        <v>93</v>
      </c>
      <c r="N265" s="242">
        <v>0</v>
      </c>
      <c r="P265" s="242">
        <f t="shared" si="9"/>
        <v>0</v>
      </c>
    </row>
    <row r="266" spans="2:16" ht="16.5" customHeight="1" x14ac:dyDescent="0.45">
      <c r="B266" s="240" t="s">
        <v>662</v>
      </c>
      <c r="C266" s="241">
        <v>30849</v>
      </c>
      <c r="D266" s="242">
        <v>2</v>
      </c>
      <c r="E266" s="256">
        <v>44289</v>
      </c>
      <c r="F266" s="264">
        <v>3017315</v>
      </c>
      <c r="G266" s="264">
        <v>5274101</v>
      </c>
      <c r="H266" s="264">
        <f t="shared" si="8"/>
        <v>8291416</v>
      </c>
      <c r="I266" s="242">
        <v>1</v>
      </c>
      <c r="J266" s="241">
        <v>44289</v>
      </c>
      <c r="M266" s="242" t="s">
        <v>93</v>
      </c>
      <c r="N266" s="242">
        <v>0</v>
      </c>
      <c r="P266" s="242">
        <f t="shared" si="9"/>
        <v>0</v>
      </c>
    </row>
    <row r="267" spans="2:16" ht="16.5" customHeight="1" x14ac:dyDescent="0.45">
      <c r="B267" s="240" t="s">
        <v>663</v>
      </c>
      <c r="C267" s="241">
        <v>29554</v>
      </c>
      <c r="D267" s="242">
        <v>1</v>
      </c>
      <c r="E267" s="256">
        <v>44291</v>
      </c>
      <c r="F267" s="264">
        <v>8195967</v>
      </c>
      <c r="G267" s="264">
        <v>14281192</v>
      </c>
      <c r="H267" s="264">
        <f t="shared" si="8"/>
        <v>22477159</v>
      </c>
      <c r="I267" s="242">
        <v>1</v>
      </c>
      <c r="J267" s="241">
        <v>44291</v>
      </c>
      <c r="M267" s="242" t="s">
        <v>93</v>
      </c>
      <c r="N267" s="242">
        <v>0</v>
      </c>
      <c r="P267" s="242">
        <f t="shared" si="9"/>
        <v>0</v>
      </c>
    </row>
    <row r="268" spans="2:16" ht="16.5" customHeight="1" x14ac:dyDescent="0.45">
      <c r="B268" s="240" t="s">
        <v>664</v>
      </c>
      <c r="C268" s="241">
        <v>26048</v>
      </c>
      <c r="D268" s="242">
        <v>2</v>
      </c>
      <c r="E268" s="256">
        <v>44291</v>
      </c>
      <c r="F268" s="264">
        <v>4387500</v>
      </c>
      <c r="G268" s="264">
        <v>7645068</v>
      </c>
      <c r="H268" s="264">
        <f t="shared" si="8"/>
        <v>12032568</v>
      </c>
      <c r="I268" s="242">
        <v>4</v>
      </c>
      <c r="J268" s="241">
        <v>44291</v>
      </c>
      <c r="M268" s="242" t="s">
        <v>93</v>
      </c>
      <c r="N268" s="242">
        <v>0</v>
      </c>
      <c r="P268" s="242">
        <f t="shared" si="9"/>
        <v>0</v>
      </c>
    </row>
    <row r="269" spans="2:16" ht="16.5" customHeight="1" x14ac:dyDescent="0.45">
      <c r="B269" s="240" t="s">
        <v>665</v>
      </c>
      <c r="C269" s="241">
        <v>31833</v>
      </c>
      <c r="D269" s="242">
        <v>2</v>
      </c>
      <c r="E269" s="256">
        <v>44291</v>
      </c>
      <c r="F269" s="264">
        <v>5668686</v>
      </c>
      <c r="G269" s="264">
        <v>9877491</v>
      </c>
      <c r="H269" s="264">
        <f t="shared" si="8"/>
        <v>15546177</v>
      </c>
      <c r="I269" s="242">
        <v>1</v>
      </c>
      <c r="J269" s="241">
        <v>44291</v>
      </c>
      <c r="M269" s="242" t="s">
        <v>93</v>
      </c>
      <c r="N269" s="242">
        <v>0</v>
      </c>
      <c r="P269" s="242">
        <f t="shared" si="9"/>
        <v>0</v>
      </c>
    </row>
    <row r="270" spans="2:16" ht="16.5" customHeight="1" x14ac:dyDescent="0.45">
      <c r="B270" s="240" t="s">
        <v>666</v>
      </c>
      <c r="C270" s="241">
        <v>30791</v>
      </c>
      <c r="D270" s="242">
        <v>1</v>
      </c>
      <c r="E270" s="256">
        <v>44298</v>
      </c>
      <c r="F270" s="264">
        <v>3368601</v>
      </c>
      <c r="G270" s="264">
        <v>5805069</v>
      </c>
      <c r="H270" s="264">
        <f t="shared" si="8"/>
        <v>9173670</v>
      </c>
      <c r="I270" s="242">
        <v>1</v>
      </c>
      <c r="J270" s="241">
        <v>44298</v>
      </c>
      <c r="M270" s="242" t="s">
        <v>93</v>
      </c>
      <c r="N270" s="242">
        <v>0</v>
      </c>
      <c r="P270" s="242">
        <f t="shared" si="9"/>
        <v>0</v>
      </c>
    </row>
    <row r="271" spans="2:16" ht="16.5" customHeight="1" x14ac:dyDescent="0.45">
      <c r="B271" s="240" t="s">
        <v>667</v>
      </c>
      <c r="C271" s="241">
        <v>33997</v>
      </c>
      <c r="D271" s="242">
        <v>1</v>
      </c>
      <c r="E271" s="256">
        <v>44305</v>
      </c>
      <c r="F271" s="264">
        <v>4041163</v>
      </c>
      <c r="G271" s="264">
        <v>6886585</v>
      </c>
      <c r="H271" s="264">
        <f t="shared" si="8"/>
        <v>10927748</v>
      </c>
      <c r="I271" s="242">
        <v>1</v>
      </c>
      <c r="J271" s="241">
        <v>44305</v>
      </c>
      <c r="M271" s="242" t="s">
        <v>93</v>
      </c>
      <c r="N271" s="242">
        <v>0</v>
      </c>
      <c r="P271" s="242">
        <f t="shared" si="9"/>
        <v>0</v>
      </c>
    </row>
    <row r="272" spans="2:16" ht="16.5" customHeight="1" x14ac:dyDescent="0.45">
      <c r="B272" s="240" t="s">
        <v>668</v>
      </c>
      <c r="C272" s="241">
        <v>32365</v>
      </c>
      <c r="D272" s="242">
        <v>2</v>
      </c>
      <c r="E272" s="256">
        <v>44305</v>
      </c>
      <c r="F272" s="264">
        <v>6535375</v>
      </c>
      <c r="G272" s="264">
        <v>11136995</v>
      </c>
      <c r="H272" s="264">
        <f t="shared" si="8"/>
        <v>17672370</v>
      </c>
      <c r="I272" s="242">
        <v>1</v>
      </c>
      <c r="J272" s="241">
        <v>44305</v>
      </c>
      <c r="M272" s="242" t="s">
        <v>93</v>
      </c>
      <c r="N272" s="242">
        <v>0</v>
      </c>
      <c r="P272" s="242">
        <f t="shared" si="9"/>
        <v>0</v>
      </c>
    </row>
    <row r="273" spans="2:16" ht="16.5" customHeight="1" x14ac:dyDescent="0.45">
      <c r="B273" s="240" t="s">
        <v>669</v>
      </c>
      <c r="C273" s="241">
        <v>29123</v>
      </c>
      <c r="D273" s="242">
        <v>1</v>
      </c>
      <c r="E273" s="256">
        <v>44305</v>
      </c>
      <c r="F273" s="264">
        <v>9360683</v>
      </c>
      <c r="G273" s="264">
        <v>15951630</v>
      </c>
      <c r="H273" s="264">
        <f t="shared" si="8"/>
        <v>25312313</v>
      </c>
      <c r="I273" s="242">
        <v>1</v>
      </c>
      <c r="J273" s="241">
        <v>44305</v>
      </c>
      <c r="M273" s="242" t="s">
        <v>93</v>
      </c>
      <c r="N273" s="242">
        <v>0</v>
      </c>
      <c r="P273" s="242">
        <f t="shared" si="9"/>
        <v>0</v>
      </c>
    </row>
    <row r="274" spans="2:16" ht="16.5" customHeight="1" x14ac:dyDescent="0.45">
      <c r="B274" s="240" t="s">
        <v>670</v>
      </c>
      <c r="C274" s="241">
        <v>26544</v>
      </c>
      <c r="D274" s="242">
        <v>1</v>
      </c>
      <c r="E274" s="256">
        <v>44312</v>
      </c>
      <c r="F274" s="264">
        <v>13748333</v>
      </c>
      <c r="G274" s="264">
        <v>23164999</v>
      </c>
      <c r="H274" s="264">
        <f t="shared" si="8"/>
        <v>36913332</v>
      </c>
      <c r="I274" s="242">
        <v>1</v>
      </c>
      <c r="J274" s="241">
        <v>44312</v>
      </c>
      <c r="M274" s="242" t="s">
        <v>93</v>
      </c>
      <c r="N274" s="242">
        <v>0</v>
      </c>
      <c r="P274" s="242">
        <f t="shared" si="9"/>
        <v>0</v>
      </c>
    </row>
    <row r="275" spans="2:16" ht="16.5" customHeight="1" x14ac:dyDescent="0.45">
      <c r="B275" s="240" t="s">
        <v>671</v>
      </c>
      <c r="C275" s="241">
        <v>29461</v>
      </c>
      <c r="D275" s="242">
        <v>2</v>
      </c>
      <c r="E275" s="256">
        <v>44319</v>
      </c>
      <c r="F275" s="264">
        <v>8996783</v>
      </c>
      <c r="G275" s="264">
        <v>14986422</v>
      </c>
      <c r="H275" s="264">
        <f t="shared" si="8"/>
        <v>23983205</v>
      </c>
      <c r="I275" s="242">
        <v>1</v>
      </c>
      <c r="J275" s="241">
        <v>44319</v>
      </c>
      <c r="M275" s="242" t="s">
        <v>93</v>
      </c>
      <c r="N275" s="242">
        <v>0</v>
      </c>
      <c r="P275" s="242">
        <f t="shared" si="9"/>
        <v>0</v>
      </c>
    </row>
    <row r="276" spans="2:16" ht="16.5" customHeight="1" x14ac:dyDescent="0.45">
      <c r="B276" s="240" t="s">
        <v>672</v>
      </c>
      <c r="C276" s="241">
        <v>32214</v>
      </c>
      <c r="D276" s="242">
        <v>2</v>
      </c>
      <c r="E276" s="256">
        <v>44319</v>
      </c>
      <c r="F276" s="264">
        <v>6892208</v>
      </c>
      <c r="G276" s="264">
        <v>11480719</v>
      </c>
      <c r="H276" s="264">
        <f t="shared" si="8"/>
        <v>18372927</v>
      </c>
      <c r="I276" s="242">
        <v>1</v>
      </c>
      <c r="J276" s="241">
        <v>44319</v>
      </c>
      <c r="M276" s="242" t="s">
        <v>93</v>
      </c>
      <c r="N276" s="242">
        <v>0</v>
      </c>
      <c r="P276" s="242">
        <f t="shared" si="9"/>
        <v>0</v>
      </c>
    </row>
    <row r="277" spans="2:16" ht="16.5" customHeight="1" x14ac:dyDescent="0.45">
      <c r="B277" s="240" t="s">
        <v>673</v>
      </c>
      <c r="C277" s="241">
        <v>31672</v>
      </c>
      <c r="D277" s="242">
        <v>1</v>
      </c>
      <c r="E277" s="256">
        <v>44319</v>
      </c>
      <c r="F277" s="264">
        <v>6404167</v>
      </c>
      <c r="G277" s="264">
        <v>10667763</v>
      </c>
      <c r="H277" s="264">
        <f t="shared" si="8"/>
        <v>17071930</v>
      </c>
      <c r="I277" s="242">
        <v>1</v>
      </c>
      <c r="J277" s="241">
        <v>44319</v>
      </c>
      <c r="M277" s="242" t="s">
        <v>93</v>
      </c>
      <c r="N277" s="242">
        <v>0</v>
      </c>
      <c r="P277" s="242">
        <f t="shared" si="9"/>
        <v>0</v>
      </c>
    </row>
    <row r="278" spans="2:16" ht="16.5" customHeight="1" x14ac:dyDescent="0.45">
      <c r="B278" s="240" t="s">
        <v>674</v>
      </c>
      <c r="C278" s="241">
        <v>34752</v>
      </c>
      <c r="D278" s="242">
        <v>2</v>
      </c>
      <c r="E278" s="256">
        <v>44319</v>
      </c>
      <c r="F278" s="264">
        <v>4015651</v>
      </c>
      <c r="G278" s="264">
        <v>6689084</v>
      </c>
      <c r="H278" s="264">
        <f t="shared" si="8"/>
        <v>10704735</v>
      </c>
      <c r="I278" s="242">
        <v>1</v>
      </c>
      <c r="J278" s="241">
        <v>44319</v>
      </c>
      <c r="M278" s="242" t="s">
        <v>93</v>
      </c>
      <c r="N278" s="242">
        <v>0</v>
      </c>
      <c r="P278" s="242">
        <f t="shared" si="9"/>
        <v>0</v>
      </c>
    </row>
    <row r="279" spans="2:16" ht="16.5" customHeight="1" x14ac:dyDescent="0.45">
      <c r="B279" s="240" t="s">
        <v>675</v>
      </c>
      <c r="C279" s="241">
        <v>26868</v>
      </c>
      <c r="D279" s="242">
        <v>1</v>
      </c>
      <c r="E279" s="256">
        <v>44326</v>
      </c>
      <c r="F279" s="264">
        <v>11725467</v>
      </c>
      <c r="G279" s="264">
        <v>19306865</v>
      </c>
      <c r="H279" s="264">
        <f t="shared" si="8"/>
        <v>31032332</v>
      </c>
      <c r="I279" s="242">
        <v>1</v>
      </c>
      <c r="J279" s="241">
        <v>44326</v>
      </c>
      <c r="M279" s="242" t="s">
        <v>93</v>
      </c>
      <c r="N279" s="242">
        <v>0</v>
      </c>
      <c r="P279" s="242">
        <f t="shared" si="9"/>
        <v>0</v>
      </c>
    </row>
    <row r="280" spans="2:16" ht="16.5" customHeight="1" x14ac:dyDescent="0.45">
      <c r="B280" s="240" t="s">
        <v>676</v>
      </c>
      <c r="C280" s="241">
        <v>32885</v>
      </c>
      <c r="D280" s="242">
        <v>1</v>
      </c>
      <c r="E280" s="256">
        <v>44326</v>
      </c>
      <c r="F280" s="264">
        <v>5796908</v>
      </c>
      <c r="G280" s="264">
        <v>9545046</v>
      </c>
      <c r="H280" s="264">
        <f t="shared" si="8"/>
        <v>15341954</v>
      </c>
      <c r="I280" s="242">
        <v>1</v>
      </c>
      <c r="J280" s="241">
        <v>44326</v>
      </c>
      <c r="M280" s="242" t="s">
        <v>93</v>
      </c>
      <c r="N280" s="242">
        <v>0</v>
      </c>
      <c r="P280" s="242">
        <f t="shared" si="9"/>
        <v>0</v>
      </c>
    </row>
    <row r="281" spans="2:16" ht="16.5" customHeight="1" x14ac:dyDescent="0.45">
      <c r="B281" s="240" t="s">
        <v>677</v>
      </c>
      <c r="C281" s="241">
        <v>33851</v>
      </c>
      <c r="D281" s="242">
        <v>2</v>
      </c>
      <c r="E281" s="256">
        <v>44326</v>
      </c>
      <c r="F281" s="264">
        <v>5189928</v>
      </c>
      <c r="G281" s="264">
        <v>8545607</v>
      </c>
      <c r="H281" s="264">
        <f t="shared" si="8"/>
        <v>13735535</v>
      </c>
      <c r="I281" s="242">
        <v>1</v>
      </c>
      <c r="J281" s="241">
        <v>44326</v>
      </c>
      <c r="M281" s="242" t="s">
        <v>93</v>
      </c>
      <c r="N281" s="242">
        <v>0</v>
      </c>
      <c r="P281" s="242">
        <f t="shared" si="9"/>
        <v>0</v>
      </c>
    </row>
    <row r="282" spans="2:16" ht="16.5" customHeight="1" x14ac:dyDescent="0.45">
      <c r="B282" s="240" t="s">
        <v>678</v>
      </c>
      <c r="C282" s="241">
        <v>34828</v>
      </c>
      <c r="D282" s="242">
        <v>2</v>
      </c>
      <c r="E282" s="256">
        <v>44333</v>
      </c>
      <c r="F282" s="264">
        <v>3368601</v>
      </c>
      <c r="G282" s="264">
        <v>5482052</v>
      </c>
      <c r="H282" s="264">
        <f t="shared" si="8"/>
        <v>8850653</v>
      </c>
      <c r="I282" s="242">
        <v>1</v>
      </c>
      <c r="J282" s="241">
        <v>44333</v>
      </c>
      <c r="M282" s="242" t="s">
        <v>93</v>
      </c>
      <c r="N282" s="242">
        <v>0</v>
      </c>
      <c r="P282" s="242">
        <f t="shared" si="9"/>
        <v>0</v>
      </c>
    </row>
    <row r="283" spans="2:16" ht="16.5" customHeight="1" x14ac:dyDescent="0.45">
      <c r="B283" s="240" t="s">
        <v>679</v>
      </c>
      <c r="C283" s="241">
        <v>29374</v>
      </c>
      <c r="D283" s="242">
        <v>2</v>
      </c>
      <c r="E283" s="256">
        <v>44333</v>
      </c>
      <c r="F283" s="264">
        <v>9770550</v>
      </c>
      <c r="G283" s="264">
        <v>15900566</v>
      </c>
      <c r="H283" s="264">
        <f t="shared" si="8"/>
        <v>25671116</v>
      </c>
      <c r="I283" s="242">
        <v>1</v>
      </c>
      <c r="J283" s="241">
        <v>44333</v>
      </c>
      <c r="M283" s="242" t="s">
        <v>93</v>
      </c>
      <c r="N283" s="242">
        <v>0</v>
      </c>
      <c r="P283" s="242">
        <f t="shared" si="9"/>
        <v>0</v>
      </c>
    </row>
    <row r="284" spans="2:16" ht="16.5" customHeight="1" x14ac:dyDescent="0.45">
      <c r="B284" s="240" t="s">
        <v>680</v>
      </c>
      <c r="C284" s="241">
        <v>28313</v>
      </c>
      <c r="D284" s="242">
        <v>1</v>
      </c>
      <c r="E284" s="256">
        <v>44333</v>
      </c>
      <c r="F284" s="264">
        <v>8908417</v>
      </c>
      <c r="G284" s="264">
        <v>14497533</v>
      </c>
      <c r="H284" s="264">
        <f t="shared" si="8"/>
        <v>23405950</v>
      </c>
      <c r="I284" s="242">
        <v>1</v>
      </c>
      <c r="J284" s="241">
        <v>44333</v>
      </c>
      <c r="M284" s="242" t="s">
        <v>93</v>
      </c>
      <c r="N284" s="242">
        <v>0</v>
      </c>
      <c r="P284" s="242">
        <f t="shared" si="9"/>
        <v>0</v>
      </c>
    </row>
    <row r="285" spans="2:16" ht="16.5" customHeight="1" x14ac:dyDescent="0.45">
      <c r="B285" s="240" t="s">
        <v>681</v>
      </c>
      <c r="C285" s="241">
        <v>30563</v>
      </c>
      <c r="D285" s="242">
        <v>2</v>
      </c>
      <c r="E285" s="256">
        <v>44340</v>
      </c>
      <c r="F285" s="264">
        <v>8123752</v>
      </c>
      <c r="G285" s="264">
        <v>13064774</v>
      </c>
      <c r="H285" s="264">
        <f t="shared" si="8"/>
        <v>21188526</v>
      </c>
      <c r="I285" s="242">
        <v>1</v>
      </c>
      <c r="J285" s="241">
        <v>44340</v>
      </c>
      <c r="M285" s="242" t="s">
        <v>93</v>
      </c>
      <c r="N285" s="242">
        <v>0</v>
      </c>
      <c r="P285" s="242">
        <f t="shared" si="9"/>
        <v>0</v>
      </c>
    </row>
    <row r="286" spans="2:16" ht="16.5" customHeight="1" x14ac:dyDescent="0.45">
      <c r="B286" s="240" t="s">
        <v>682</v>
      </c>
      <c r="C286" s="241">
        <v>33526</v>
      </c>
      <c r="D286" s="242">
        <v>2</v>
      </c>
      <c r="E286" s="256">
        <v>44348</v>
      </c>
      <c r="F286" s="264">
        <v>3368601</v>
      </c>
      <c r="G286" s="264">
        <v>5343616</v>
      </c>
      <c r="H286" s="264">
        <f t="shared" si="8"/>
        <v>8712217</v>
      </c>
      <c r="I286" s="242">
        <v>1</v>
      </c>
      <c r="J286" s="241">
        <v>44348</v>
      </c>
      <c r="M286" s="242" t="s">
        <v>93</v>
      </c>
      <c r="N286" s="242">
        <v>0</v>
      </c>
      <c r="P286" s="242">
        <f t="shared" si="9"/>
        <v>0</v>
      </c>
    </row>
    <row r="287" spans="2:16" ht="16.5" customHeight="1" x14ac:dyDescent="0.45">
      <c r="B287" s="240" t="s">
        <v>683</v>
      </c>
      <c r="C287" s="241">
        <v>35852</v>
      </c>
      <c r="D287" s="242">
        <v>2</v>
      </c>
      <c r="E287" s="256">
        <v>44348</v>
      </c>
      <c r="F287" s="264">
        <v>2695833</v>
      </c>
      <c r="G287" s="264">
        <v>4276404</v>
      </c>
      <c r="H287" s="264">
        <f t="shared" si="8"/>
        <v>6972237</v>
      </c>
      <c r="I287" s="242">
        <v>4</v>
      </c>
      <c r="J287" s="241">
        <v>44348</v>
      </c>
      <c r="M287" s="242" t="s">
        <v>93</v>
      </c>
      <c r="N287" s="242">
        <v>0</v>
      </c>
      <c r="P287" s="242">
        <f t="shared" si="9"/>
        <v>0</v>
      </c>
    </row>
    <row r="288" spans="2:16" ht="16.5" customHeight="1" x14ac:dyDescent="0.45">
      <c r="B288" s="240" t="s">
        <v>684</v>
      </c>
      <c r="C288" s="241">
        <v>32583</v>
      </c>
      <c r="D288" s="242">
        <v>1</v>
      </c>
      <c r="E288" s="256">
        <v>44361</v>
      </c>
      <c r="F288" s="264">
        <v>7120583</v>
      </c>
      <c r="G288" s="264">
        <v>11041781</v>
      </c>
      <c r="H288" s="264">
        <f t="shared" si="8"/>
        <v>18162364</v>
      </c>
      <c r="I288" s="242">
        <v>1</v>
      </c>
      <c r="J288" s="241">
        <v>44361</v>
      </c>
      <c r="M288" s="242" t="s">
        <v>93</v>
      </c>
      <c r="N288" s="242">
        <v>0</v>
      </c>
      <c r="P288" s="242">
        <f t="shared" si="9"/>
        <v>0</v>
      </c>
    </row>
    <row r="289" spans="2:16" ht="16.5" customHeight="1" x14ac:dyDescent="0.45">
      <c r="B289" s="240" t="s">
        <v>685</v>
      </c>
      <c r="C289" s="241">
        <v>32962</v>
      </c>
      <c r="D289" s="242">
        <v>2</v>
      </c>
      <c r="E289" s="256">
        <v>44361</v>
      </c>
      <c r="F289" s="264">
        <v>7897883</v>
      </c>
      <c r="G289" s="264">
        <v>12247128</v>
      </c>
      <c r="H289" s="264">
        <f t="shared" si="8"/>
        <v>20145011</v>
      </c>
      <c r="I289" s="242">
        <v>1</v>
      </c>
      <c r="J289" s="241">
        <v>44361</v>
      </c>
      <c r="M289" s="242" t="s">
        <v>93</v>
      </c>
      <c r="N289" s="242">
        <v>0</v>
      </c>
      <c r="P289" s="242">
        <f t="shared" si="9"/>
        <v>0</v>
      </c>
    </row>
    <row r="290" spans="2:16" ht="16.5" customHeight="1" x14ac:dyDescent="0.45">
      <c r="B290" s="240" t="s">
        <v>686</v>
      </c>
      <c r="C290" s="241">
        <v>28709</v>
      </c>
      <c r="D290" s="242">
        <v>1</v>
      </c>
      <c r="E290" s="256">
        <v>44368</v>
      </c>
      <c r="F290" s="264">
        <v>6934405</v>
      </c>
      <c r="G290" s="264">
        <v>10620089</v>
      </c>
      <c r="H290" s="264">
        <f t="shared" si="8"/>
        <v>17554494</v>
      </c>
      <c r="I290" s="242">
        <v>1</v>
      </c>
      <c r="J290" s="241">
        <v>44368</v>
      </c>
      <c r="M290" s="242" t="s">
        <v>93</v>
      </c>
      <c r="N290" s="242">
        <v>0</v>
      </c>
      <c r="P290" s="242">
        <f t="shared" si="9"/>
        <v>0</v>
      </c>
    </row>
    <row r="291" spans="2:16" ht="16.5" customHeight="1" x14ac:dyDescent="0.45">
      <c r="B291" s="240" t="s">
        <v>687</v>
      </c>
      <c r="C291" s="241">
        <v>34207</v>
      </c>
      <c r="D291" s="242">
        <v>2</v>
      </c>
      <c r="E291" s="256">
        <v>44368</v>
      </c>
      <c r="F291" s="264">
        <v>3368601</v>
      </c>
      <c r="G291" s="264">
        <v>5159036</v>
      </c>
      <c r="H291" s="264">
        <f t="shared" si="8"/>
        <v>8527637</v>
      </c>
      <c r="I291" s="242">
        <v>1</v>
      </c>
      <c r="J291" s="241">
        <v>44368</v>
      </c>
      <c r="M291" s="242" t="s">
        <v>93</v>
      </c>
      <c r="N291" s="242">
        <v>0</v>
      </c>
      <c r="P291" s="242">
        <f t="shared" si="9"/>
        <v>0</v>
      </c>
    </row>
    <row r="292" spans="2:16" ht="16.5" customHeight="1" x14ac:dyDescent="0.45">
      <c r="B292" s="240" t="s">
        <v>688</v>
      </c>
      <c r="C292" s="241">
        <v>24624</v>
      </c>
      <c r="D292" s="242">
        <v>1</v>
      </c>
      <c r="E292" s="256">
        <v>43358</v>
      </c>
      <c r="F292" s="264">
        <v>12880244.5</v>
      </c>
      <c r="G292" s="264">
        <v>19549741</v>
      </c>
      <c r="H292" s="264">
        <f t="shared" si="8"/>
        <v>32429985.5</v>
      </c>
      <c r="I292" s="242">
        <v>1</v>
      </c>
      <c r="J292" s="252">
        <v>44373</v>
      </c>
      <c r="M292" s="242" t="s">
        <v>93</v>
      </c>
      <c r="N292" s="242">
        <v>0</v>
      </c>
      <c r="P292" s="242">
        <f t="shared" si="9"/>
        <v>0</v>
      </c>
    </row>
    <row r="293" spans="2:16" ht="16.5" customHeight="1" x14ac:dyDescent="0.45">
      <c r="B293" s="240" t="s">
        <v>689</v>
      </c>
      <c r="C293" s="241">
        <v>29174</v>
      </c>
      <c r="D293" s="242">
        <v>2</v>
      </c>
      <c r="E293" s="256">
        <v>44378</v>
      </c>
      <c r="F293" s="264">
        <v>14008869</v>
      </c>
      <c r="G293" s="264">
        <v>21070874</v>
      </c>
      <c r="H293" s="264">
        <f t="shared" si="8"/>
        <v>35079743</v>
      </c>
      <c r="I293" s="242">
        <v>1</v>
      </c>
      <c r="J293" s="241">
        <v>44378</v>
      </c>
      <c r="M293" s="242" t="s">
        <v>93</v>
      </c>
      <c r="N293" s="242">
        <v>0</v>
      </c>
      <c r="P293" s="242">
        <f t="shared" si="9"/>
        <v>0</v>
      </c>
    </row>
    <row r="294" spans="2:16" ht="16.5" customHeight="1" x14ac:dyDescent="0.45">
      <c r="B294" s="240" t="s">
        <v>690</v>
      </c>
      <c r="C294" s="241">
        <v>29632</v>
      </c>
      <c r="D294" s="242">
        <v>2</v>
      </c>
      <c r="E294" s="256">
        <v>44382</v>
      </c>
      <c r="F294" s="264">
        <v>13059333</v>
      </c>
      <c r="G294" s="264">
        <v>16529895</v>
      </c>
      <c r="H294" s="264">
        <f t="shared" si="8"/>
        <v>29589228</v>
      </c>
      <c r="I294" s="242">
        <v>1</v>
      </c>
      <c r="J294" s="241">
        <v>44382</v>
      </c>
      <c r="M294" s="242" t="s">
        <v>93</v>
      </c>
      <c r="N294" s="242">
        <v>83</v>
      </c>
      <c r="P294" s="242">
        <f t="shared" si="9"/>
        <v>0.22677595628415301</v>
      </c>
    </row>
    <row r="295" spans="2:16" ht="16.5" customHeight="1" x14ac:dyDescent="0.45">
      <c r="B295" s="240" t="s">
        <v>691</v>
      </c>
      <c r="C295" s="241">
        <v>32917</v>
      </c>
      <c r="D295" s="242">
        <v>2</v>
      </c>
      <c r="E295" s="256">
        <v>44389</v>
      </c>
      <c r="F295" s="264">
        <v>5502946</v>
      </c>
      <c r="G295" s="264">
        <v>8111192</v>
      </c>
      <c r="H295" s="264">
        <f t="shared" si="8"/>
        <v>13614138</v>
      </c>
      <c r="I295" s="242">
        <v>1</v>
      </c>
      <c r="J295" s="241">
        <v>44389</v>
      </c>
      <c r="M295" s="242" t="s">
        <v>93</v>
      </c>
      <c r="N295" s="242">
        <v>0</v>
      </c>
      <c r="P295" s="242">
        <f t="shared" si="9"/>
        <v>0</v>
      </c>
    </row>
    <row r="296" spans="2:16" ht="16.5" customHeight="1" x14ac:dyDescent="0.45">
      <c r="B296" s="240" t="s">
        <v>692</v>
      </c>
      <c r="C296" s="241">
        <v>29803</v>
      </c>
      <c r="D296" s="242">
        <v>1</v>
      </c>
      <c r="E296" s="256">
        <v>44396</v>
      </c>
      <c r="F296" s="264">
        <v>7619688</v>
      </c>
      <c r="G296" s="264">
        <v>11085080</v>
      </c>
      <c r="H296" s="264">
        <f t="shared" si="8"/>
        <v>18704768</v>
      </c>
      <c r="I296" s="242">
        <v>1</v>
      </c>
      <c r="J296" s="241">
        <v>44396</v>
      </c>
      <c r="M296" s="242" t="s">
        <v>93</v>
      </c>
      <c r="N296" s="242">
        <v>0</v>
      </c>
      <c r="P296" s="242">
        <f t="shared" si="9"/>
        <v>0</v>
      </c>
    </row>
    <row r="297" spans="2:16" ht="16.5" customHeight="1" x14ac:dyDescent="0.45">
      <c r="B297" s="240" t="s">
        <v>693</v>
      </c>
      <c r="C297" s="241">
        <v>34241</v>
      </c>
      <c r="D297" s="242">
        <v>2</v>
      </c>
      <c r="E297" s="256">
        <v>44396</v>
      </c>
      <c r="F297" s="264">
        <v>2711283</v>
      </c>
      <c r="G297" s="264">
        <v>3944360</v>
      </c>
      <c r="H297" s="264">
        <f t="shared" si="8"/>
        <v>6655643</v>
      </c>
      <c r="I297" s="242">
        <v>4</v>
      </c>
      <c r="J297" s="241">
        <v>44396</v>
      </c>
      <c r="M297" s="242" t="s">
        <v>93</v>
      </c>
      <c r="N297" s="242">
        <v>0</v>
      </c>
      <c r="P297" s="242">
        <f t="shared" si="9"/>
        <v>0</v>
      </c>
    </row>
    <row r="298" spans="2:16" ht="16.5" customHeight="1" x14ac:dyDescent="0.45">
      <c r="B298" s="240" t="s">
        <v>694</v>
      </c>
      <c r="C298" s="241">
        <v>30993</v>
      </c>
      <c r="D298" s="242">
        <v>1</v>
      </c>
      <c r="E298" s="256">
        <v>44424</v>
      </c>
      <c r="F298" s="264">
        <v>7140690</v>
      </c>
      <c r="G298" s="264">
        <v>9840458</v>
      </c>
      <c r="H298" s="264">
        <f t="shared" si="8"/>
        <v>16981148</v>
      </c>
      <c r="I298" s="242">
        <v>1</v>
      </c>
      <c r="J298" s="241">
        <v>44424</v>
      </c>
      <c r="M298" s="242" t="s">
        <v>93</v>
      </c>
      <c r="N298" s="242">
        <v>0</v>
      </c>
      <c r="P298" s="242">
        <f t="shared" si="9"/>
        <v>0</v>
      </c>
    </row>
    <row r="299" spans="2:16" ht="16.5" customHeight="1" x14ac:dyDescent="0.45">
      <c r="B299" s="240" t="s">
        <v>695</v>
      </c>
      <c r="C299" s="241">
        <v>35735</v>
      </c>
      <c r="D299" s="242">
        <v>2</v>
      </c>
      <c r="E299" s="256">
        <v>44440</v>
      </c>
      <c r="F299" s="264">
        <v>4015651</v>
      </c>
      <c r="G299" s="264">
        <v>5357869</v>
      </c>
      <c r="H299" s="264">
        <f t="shared" si="8"/>
        <v>9373520</v>
      </c>
      <c r="I299" s="242">
        <v>1</v>
      </c>
      <c r="J299" s="241">
        <v>44440</v>
      </c>
      <c r="M299" s="242" t="s">
        <v>93</v>
      </c>
      <c r="N299" s="242">
        <v>0</v>
      </c>
      <c r="P299" s="242">
        <f t="shared" si="9"/>
        <v>0</v>
      </c>
    </row>
    <row r="300" spans="2:16" ht="16.5" customHeight="1" x14ac:dyDescent="0.45">
      <c r="B300" s="240" t="s">
        <v>696</v>
      </c>
      <c r="C300" s="241">
        <v>35032</v>
      </c>
      <c r="D300" s="242">
        <v>2</v>
      </c>
      <c r="E300" s="256">
        <v>44440</v>
      </c>
      <c r="F300" s="264">
        <v>2819467</v>
      </c>
      <c r="G300" s="264">
        <v>3761864</v>
      </c>
      <c r="H300" s="264">
        <f t="shared" si="8"/>
        <v>6581331</v>
      </c>
      <c r="I300" s="242">
        <v>4</v>
      </c>
      <c r="J300" s="241">
        <v>44440</v>
      </c>
      <c r="M300" s="242" t="s">
        <v>93</v>
      </c>
      <c r="N300" s="242">
        <v>0</v>
      </c>
      <c r="P300" s="242">
        <f t="shared" si="9"/>
        <v>0</v>
      </c>
    </row>
    <row r="301" spans="2:16" ht="16.5" customHeight="1" x14ac:dyDescent="0.45">
      <c r="B301" s="240" t="s">
        <v>697</v>
      </c>
      <c r="C301" s="241">
        <v>29224</v>
      </c>
      <c r="D301" s="242">
        <v>2</v>
      </c>
      <c r="E301" s="256">
        <v>44466</v>
      </c>
      <c r="F301" s="264">
        <v>5046000</v>
      </c>
      <c r="G301" s="264">
        <v>6373167</v>
      </c>
      <c r="H301" s="264">
        <f t="shared" si="8"/>
        <v>11419167</v>
      </c>
      <c r="I301" s="242">
        <v>4</v>
      </c>
      <c r="J301" s="241">
        <v>44466</v>
      </c>
      <c r="M301" s="242" t="s">
        <v>93</v>
      </c>
      <c r="N301" s="242">
        <v>0</v>
      </c>
      <c r="P301" s="242">
        <f t="shared" si="9"/>
        <v>0</v>
      </c>
    </row>
    <row r="302" spans="2:16" ht="16.5" customHeight="1" x14ac:dyDescent="0.45">
      <c r="B302" s="240" t="s">
        <v>698</v>
      </c>
      <c r="C302" s="241">
        <v>34103</v>
      </c>
      <c r="D302" s="242">
        <v>2</v>
      </c>
      <c r="E302" s="256">
        <v>44508</v>
      </c>
      <c r="F302" s="264">
        <v>4743058</v>
      </c>
      <c r="G302" s="264">
        <v>5444771</v>
      </c>
      <c r="H302" s="264">
        <f t="shared" si="8"/>
        <v>10187829</v>
      </c>
      <c r="I302" s="242">
        <v>1</v>
      </c>
      <c r="J302" s="241">
        <v>44508</v>
      </c>
      <c r="M302" s="242" t="s">
        <v>93</v>
      </c>
      <c r="N302" s="242">
        <v>0</v>
      </c>
      <c r="P302" s="242">
        <f t="shared" si="9"/>
        <v>0</v>
      </c>
    </row>
    <row r="303" spans="2:16" ht="16.5" customHeight="1" x14ac:dyDescent="0.45">
      <c r="B303" s="240" t="s">
        <v>699</v>
      </c>
      <c r="C303" s="241">
        <v>30544</v>
      </c>
      <c r="D303" s="242">
        <v>1</v>
      </c>
      <c r="E303" s="256">
        <v>44536</v>
      </c>
      <c r="F303" s="264">
        <v>8028350</v>
      </c>
      <c r="G303" s="264">
        <v>8600232</v>
      </c>
      <c r="H303" s="264">
        <f t="shared" si="8"/>
        <v>16628582</v>
      </c>
      <c r="I303" s="242">
        <v>1</v>
      </c>
      <c r="J303" s="241">
        <v>44536</v>
      </c>
      <c r="M303" s="242" t="s">
        <v>93</v>
      </c>
      <c r="N303" s="242">
        <v>0</v>
      </c>
      <c r="P303" s="242">
        <f t="shared" si="9"/>
        <v>0</v>
      </c>
    </row>
    <row r="304" spans="2:16" ht="16.5" customHeight="1" x14ac:dyDescent="0.45">
      <c r="B304" s="240" t="s">
        <v>700</v>
      </c>
      <c r="C304" s="241">
        <v>35007</v>
      </c>
      <c r="D304" s="242">
        <v>2</v>
      </c>
      <c r="E304" s="256">
        <v>44470</v>
      </c>
      <c r="F304" s="264">
        <v>4015651</v>
      </c>
      <c r="G304" s="264">
        <v>5027815</v>
      </c>
      <c r="H304" s="264">
        <f t="shared" si="8"/>
        <v>9043466</v>
      </c>
      <c r="I304" s="242">
        <v>1</v>
      </c>
      <c r="J304" s="241">
        <v>44470</v>
      </c>
      <c r="M304" s="242" t="s">
        <v>93</v>
      </c>
      <c r="N304" s="242">
        <v>0</v>
      </c>
      <c r="P304" s="242">
        <f t="shared" si="9"/>
        <v>0</v>
      </c>
    </row>
    <row r="305" spans="2:16" ht="16.5" customHeight="1" x14ac:dyDescent="0.45">
      <c r="B305" s="240" t="s">
        <v>701</v>
      </c>
      <c r="C305" s="241">
        <v>33241</v>
      </c>
      <c r="D305" s="242">
        <v>1</v>
      </c>
      <c r="E305" s="256">
        <v>44481</v>
      </c>
      <c r="F305" s="264">
        <v>6247684</v>
      </c>
      <c r="G305" s="264">
        <v>7634156</v>
      </c>
      <c r="H305" s="264">
        <f t="shared" si="8"/>
        <v>13881840</v>
      </c>
      <c r="I305" s="242">
        <v>1</v>
      </c>
      <c r="J305" s="241">
        <v>44481</v>
      </c>
      <c r="M305" s="242" t="s">
        <v>93</v>
      </c>
      <c r="N305" s="242">
        <v>0</v>
      </c>
      <c r="P305" s="242">
        <f t="shared" si="9"/>
        <v>0</v>
      </c>
    </row>
    <row r="306" spans="2:16" ht="16.5" customHeight="1" x14ac:dyDescent="0.45">
      <c r="B306" s="240" t="s">
        <v>702</v>
      </c>
      <c r="C306" s="241">
        <v>29316</v>
      </c>
      <c r="D306" s="242">
        <v>2</v>
      </c>
      <c r="E306" s="256">
        <v>44550</v>
      </c>
      <c r="F306" s="264">
        <v>6180719</v>
      </c>
      <c r="G306" s="264">
        <v>6383921</v>
      </c>
      <c r="H306" s="264">
        <f t="shared" si="8"/>
        <v>12564640</v>
      </c>
      <c r="I306" s="242">
        <v>1</v>
      </c>
      <c r="J306" s="241">
        <v>44550</v>
      </c>
      <c r="M306" s="242" t="s">
        <v>93</v>
      </c>
      <c r="N306" s="242">
        <v>0</v>
      </c>
      <c r="P306" s="242">
        <f t="shared" si="9"/>
        <v>0</v>
      </c>
    </row>
    <row r="307" spans="2:16" ht="16.5" customHeight="1" x14ac:dyDescent="0.45">
      <c r="B307" s="240" t="s">
        <v>703</v>
      </c>
      <c r="C307" s="241">
        <v>24540</v>
      </c>
      <c r="D307" s="242">
        <v>1</v>
      </c>
      <c r="E307" s="256">
        <v>44531</v>
      </c>
      <c r="F307" s="264">
        <v>15181317</v>
      </c>
      <c r="G307" s="264">
        <v>41116067</v>
      </c>
      <c r="H307" s="264">
        <f t="shared" si="8"/>
        <v>79069359.5</v>
      </c>
      <c r="I307" s="242">
        <v>3</v>
      </c>
      <c r="J307" s="241">
        <v>44531</v>
      </c>
      <c r="M307" s="242">
        <v>2.5</v>
      </c>
      <c r="N307" s="242">
        <v>0</v>
      </c>
      <c r="P307" s="242">
        <f t="shared" si="9"/>
        <v>0</v>
      </c>
    </row>
    <row r="308" spans="2:16" ht="16.5" customHeight="1" x14ac:dyDescent="0.45">
      <c r="B308" s="240" t="s">
        <v>704</v>
      </c>
      <c r="C308" s="241">
        <v>31238</v>
      </c>
      <c r="D308" s="242">
        <v>1</v>
      </c>
      <c r="E308" s="256">
        <v>44550</v>
      </c>
      <c r="F308" s="264">
        <v>7057798</v>
      </c>
      <c r="G308" s="264">
        <v>7289835</v>
      </c>
      <c r="H308" s="264">
        <f t="shared" si="8"/>
        <v>14347633</v>
      </c>
      <c r="I308" s="242">
        <v>1</v>
      </c>
      <c r="J308" s="241">
        <v>44550</v>
      </c>
      <c r="M308" s="242" t="s">
        <v>93</v>
      </c>
      <c r="N308" s="242">
        <v>0</v>
      </c>
      <c r="P308" s="242">
        <f t="shared" si="9"/>
        <v>0</v>
      </c>
    </row>
    <row r="309" spans="2:16" ht="16.5" customHeight="1" x14ac:dyDescent="0.45">
      <c r="B309" s="240" t="s">
        <v>705</v>
      </c>
      <c r="C309" s="241">
        <v>34709</v>
      </c>
      <c r="D309" s="242">
        <v>2</v>
      </c>
      <c r="E309" s="256">
        <v>44550</v>
      </c>
      <c r="F309" s="264">
        <v>2711283</v>
      </c>
      <c r="G309" s="264">
        <v>2800421</v>
      </c>
      <c r="H309" s="264">
        <f t="shared" si="8"/>
        <v>5511704</v>
      </c>
      <c r="I309" s="242">
        <v>4</v>
      </c>
      <c r="J309" s="241">
        <v>44550</v>
      </c>
      <c r="M309" s="242" t="s">
        <v>93</v>
      </c>
      <c r="N309" s="242">
        <v>0</v>
      </c>
      <c r="P309" s="242">
        <f t="shared" si="9"/>
        <v>0</v>
      </c>
    </row>
    <row r="310" spans="2:16" ht="16.5" customHeight="1" x14ac:dyDescent="0.45">
      <c r="B310" s="240" t="s">
        <v>706</v>
      </c>
      <c r="C310" s="241">
        <v>34893</v>
      </c>
      <c r="D310" s="242">
        <v>2</v>
      </c>
      <c r="E310" s="256">
        <v>44564</v>
      </c>
      <c r="F310" s="264">
        <v>3956759</v>
      </c>
      <c r="G310" s="264">
        <v>3935078</v>
      </c>
      <c r="H310" s="264">
        <f t="shared" si="8"/>
        <v>7891837</v>
      </c>
      <c r="I310" s="242">
        <v>1</v>
      </c>
      <c r="J310" s="241">
        <v>44564</v>
      </c>
      <c r="M310" s="242" t="s">
        <v>93</v>
      </c>
      <c r="N310" s="242">
        <v>0</v>
      </c>
      <c r="P310" s="242">
        <f t="shared" si="9"/>
        <v>0</v>
      </c>
    </row>
    <row r="311" spans="2:16" ht="16.5" customHeight="1" x14ac:dyDescent="0.45">
      <c r="B311" s="240" t="s">
        <v>707</v>
      </c>
      <c r="C311" s="241">
        <v>29484</v>
      </c>
      <c r="D311" s="242">
        <v>1</v>
      </c>
      <c r="E311" s="256">
        <v>44564</v>
      </c>
      <c r="F311" s="264">
        <v>5503250</v>
      </c>
      <c r="G311" s="264">
        <v>5473095</v>
      </c>
      <c r="H311" s="264">
        <f t="shared" si="8"/>
        <v>10976345</v>
      </c>
      <c r="I311" s="242">
        <v>4</v>
      </c>
      <c r="J311" s="241">
        <v>44564</v>
      </c>
      <c r="M311" s="242" t="s">
        <v>93</v>
      </c>
      <c r="N311" s="242">
        <v>0</v>
      </c>
      <c r="P311" s="242">
        <f t="shared" si="9"/>
        <v>0</v>
      </c>
    </row>
    <row r="312" spans="2:16" ht="16.5" customHeight="1" x14ac:dyDescent="0.45">
      <c r="B312" s="240" t="s">
        <v>708</v>
      </c>
      <c r="C312" s="241">
        <v>31296</v>
      </c>
      <c r="D312" s="242">
        <v>1</v>
      </c>
      <c r="E312" s="256">
        <v>44564</v>
      </c>
      <c r="F312" s="264">
        <v>5081905</v>
      </c>
      <c r="G312" s="264">
        <v>5054059</v>
      </c>
      <c r="H312" s="264">
        <f t="shared" si="8"/>
        <v>10135964</v>
      </c>
      <c r="I312" s="242">
        <v>1</v>
      </c>
      <c r="J312" s="241">
        <v>44564</v>
      </c>
      <c r="M312" s="242" t="s">
        <v>93</v>
      </c>
      <c r="N312" s="242">
        <v>0</v>
      </c>
      <c r="P312" s="242">
        <f t="shared" si="9"/>
        <v>0</v>
      </c>
    </row>
    <row r="313" spans="2:16" ht="16.5" customHeight="1" x14ac:dyDescent="0.45">
      <c r="B313" s="240" t="s">
        <v>709</v>
      </c>
      <c r="C313" s="241">
        <v>27365</v>
      </c>
      <c r="D313" s="242">
        <v>1</v>
      </c>
      <c r="E313" s="256">
        <v>44571</v>
      </c>
      <c r="F313" s="264">
        <v>13250000</v>
      </c>
      <c r="G313" s="264">
        <v>12923288</v>
      </c>
      <c r="H313" s="264">
        <f t="shared" si="8"/>
        <v>26173288</v>
      </c>
      <c r="I313" s="242">
        <v>4</v>
      </c>
      <c r="J313" s="241">
        <v>44571</v>
      </c>
      <c r="M313" s="242" t="s">
        <v>93</v>
      </c>
      <c r="N313" s="242">
        <v>0</v>
      </c>
      <c r="P313" s="242">
        <f t="shared" si="9"/>
        <v>0</v>
      </c>
    </row>
    <row r="314" spans="2:16" ht="16.5" customHeight="1" x14ac:dyDescent="0.45">
      <c r="B314" s="240" t="s">
        <v>710</v>
      </c>
      <c r="C314" s="241">
        <v>32337</v>
      </c>
      <c r="D314" s="242">
        <v>1</v>
      </c>
      <c r="E314" s="256">
        <v>44578</v>
      </c>
      <c r="F314" s="264">
        <v>4538333</v>
      </c>
      <c r="G314" s="264">
        <v>4339392</v>
      </c>
      <c r="H314" s="264">
        <f t="shared" si="8"/>
        <v>8877725</v>
      </c>
      <c r="I314" s="242">
        <v>4</v>
      </c>
      <c r="J314" s="241">
        <v>44578</v>
      </c>
      <c r="M314" s="242" t="s">
        <v>93</v>
      </c>
      <c r="N314" s="242">
        <v>0</v>
      </c>
      <c r="P314" s="242">
        <f t="shared" si="9"/>
        <v>0</v>
      </c>
    </row>
    <row r="315" spans="2:16" ht="16.5" customHeight="1" x14ac:dyDescent="0.45">
      <c r="B315" s="240" t="s">
        <v>711</v>
      </c>
      <c r="C315" s="241">
        <v>32147</v>
      </c>
      <c r="D315" s="242">
        <v>1</v>
      </c>
      <c r="E315" s="256">
        <v>44585</v>
      </c>
      <c r="F315" s="264">
        <v>3416700</v>
      </c>
      <c r="G315" s="264">
        <v>3201401</v>
      </c>
      <c r="H315" s="264">
        <f t="shared" si="8"/>
        <v>6618101</v>
      </c>
      <c r="I315" s="242">
        <v>4</v>
      </c>
      <c r="J315" s="241">
        <v>44585</v>
      </c>
      <c r="M315" s="242" t="s">
        <v>93</v>
      </c>
      <c r="N315" s="242">
        <v>0</v>
      </c>
      <c r="P315" s="242">
        <f t="shared" si="9"/>
        <v>0</v>
      </c>
    </row>
    <row r="316" spans="2:16" ht="16.5" customHeight="1" x14ac:dyDescent="0.45">
      <c r="B316" s="240" t="s">
        <v>712</v>
      </c>
      <c r="C316" s="241">
        <v>26505</v>
      </c>
      <c r="D316" s="242">
        <v>1</v>
      </c>
      <c r="E316" s="256">
        <v>44595</v>
      </c>
      <c r="F316" s="264">
        <v>6294167</v>
      </c>
      <c r="G316" s="264">
        <v>5725105</v>
      </c>
      <c r="H316" s="264">
        <f t="shared" si="8"/>
        <v>12019272</v>
      </c>
      <c r="I316" s="242">
        <v>4</v>
      </c>
      <c r="J316" s="241">
        <v>44595</v>
      </c>
      <c r="M316" s="242" t="s">
        <v>93</v>
      </c>
      <c r="N316" s="242">
        <v>0</v>
      </c>
      <c r="P316" s="242">
        <f t="shared" si="9"/>
        <v>0</v>
      </c>
    </row>
    <row r="317" spans="2:16" ht="16.5" customHeight="1" x14ac:dyDescent="0.45">
      <c r="B317" s="240" t="s">
        <v>713</v>
      </c>
      <c r="C317" s="241">
        <v>35079</v>
      </c>
      <c r="D317" s="242">
        <v>1</v>
      </c>
      <c r="E317" s="256">
        <v>44599</v>
      </c>
      <c r="F317" s="264">
        <v>3956759</v>
      </c>
      <c r="G317" s="264">
        <v>3555663</v>
      </c>
      <c r="H317" s="264">
        <f t="shared" si="8"/>
        <v>7512422</v>
      </c>
      <c r="I317" s="242">
        <v>1</v>
      </c>
      <c r="J317" s="241">
        <v>44599</v>
      </c>
      <c r="M317" s="242" t="s">
        <v>93</v>
      </c>
      <c r="N317" s="242">
        <v>0</v>
      </c>
      <c r="P317" s="242">
        <f t="shared" si="9"/>
        <v>0</v>
      </c>
    </row>
    <row r="318" spans="2:16" ht="16.5" customHeight="1" x14ac:dyDescent="0.45">
      <c r="B318" s="240" t="s">
        <v>714</v>
      </c>
      <c r="C318" s="241">
        <v>28736</v>
      </c>
      <c r="D318" s="242">
        <v>1</v>
      </c>
      <c r="E318" s="256">
        <v>44606</v>
      </c>
      <c r="F318" s="264">
        <v>9690026</v>
      </c>
      <c r="G318" s="264">
        <v>8521913</v>
      </c>
      <c r="H318" s="264">
        <f t="shared" si="8"/>
        <v>18211939</v>
      </c>
      <c r="I318" s="242">
        <v>1</v>
      </c>
      <c r="J318" s="241">
        <v>44606</v>
      </c>
      <c r="M318" s="242" t="s">
        <v>93</v>
      </c>
      <c r="N318" s="242">
        <v>0</v>
      </c>
      <c r="P318" s="242">
        <f t="shared" si="9"/>
        <v>0</v>
      </c>
    </row>
    <row r="319" spans="2:16" ht="16.5" customHeight="1" x14ac:dyDescent="0.45">
      <c r="B319" s="240" t="s">
        <v>715</v>
      </c>
      <c r="C319" s="241">
        <v>28914</v>
      </c>
      <c r="D319" s="242">
        <v>2</v>
      </c>
      <c r="E319" s="256">
        <v>44606</v>
      </c>
      <c r="F319" s="264">
        <v>7190533</v>
      </c>
      <c r="G319" s="264">
        <v>6323729</v>
      </c>
      <c r="H319" s="264">
        <f t="shared" si="8"/>
        <v>13514262</v>
      </c>
      <c r="I319" s="242">
        <v>4</v>
      </c>
      <c r="J319" s="241">
        <v>44606</v>
      </c>
      <c r="M319" s="242" t="s">
        <v>93</v>
      </c>
      <c r="N319" s="242">
        <v>0</v>
      </c>
      <c r="P319" s="242">
        <f t="shared" si="9"/>
        <v>0</v>
      </c>
    </row>
    <row r="320" spans="2:16" ht="16.5" customHeight="1" x14ac:dyDescent="0.45">
      <c r="B320" s="240" t="s">
        <v>716</v>
      </c>
      <c r="C320" s="241">
        <v>26303</v>
      </c>
      <c r="D320" s="242">
        <v>2</v>
      </c>
      <c r="E320" s="256">
        <v>44606</v>
      </c>
      <c r="F320" s="264">
        <v>5545417</v>
      </c>
      <c r="G320" s="264">
        <v>4876928</v>
      </c>
      <c r="H320" s="264">
        <f t="shared" si="8"/>
        <v>10422345</v>
      </c>
      <c r="I320" s="242">
        <v>4</v>
      </c>
      <c r="J320" s="241">
        <v>44606</v>
      </c>
      <c r="M320" s="242" t="s">
        <v>93</v>
      </c>
      <c r="N320" s="242">
        <v>0</v>
      </c>
      <c r="P320" s="242">
        <f t="shared" si="9"/>
        <v>0</v>
      </c>
    </row>
    <row r="321" spans="2:16" ht="16.5" customHeight="1" x14ac:dyDescent="0.45">
      <c r="B321" s="240" t="s">
        <v>717</v>
      </c>
      <c r="C321" s="241">
        <v>32171</v>
      </c>
      <c r="D321" s="242">
        <v>1</v>
      </c>
      <c r="E321" s="256">
        <v>44606</v>
      </c>
      <c r="F321" s="264">
        <v>5154539</v>
      </c>
      <c r="G321" s="264">
        <v>4533170</v>
      </c>
      <c r="H321" s="264">
        <f t="shared" si="8"/>
        <v>9687709</v>
      </c>
      <c r="I321" s="242">
        <v>4</v>
      </c>
      <c r="J321" s="241">
        <v>44606</v>
      </c>
      <c r="M321" s="242" t="s">
        <v>93</v>
      </c>
      <c r="N321" s="242">
        <v>0</v>
      </c>
      <c r="P321" s="242">
        <f t="shared" si="9"/>
        <v>0</v>
      </c>
    </row>
    <row r="322" spans="2:16" ht="16.5" customHeight="1" x14ac:dyDescent="0.45">
      <c r="B322" s="240" t="s">
        <v>718</v>
      </c>
      <c r="C322" s="241">
        <v>33886</v>
      </c>
      <c r="D322" s="242">
        <v>2</v>
      </c>
      <c r="E322" s="256">
        <v>44606</v>
      </c>
      <c r="F322" s="264">
        <v>4723333</v>
      </c>
      <c r="G322" s="264">
        <v>4153945</v>
      </c>
      <c r="H322" s="264">
        <f t="shared" si="8"/>
        <v>8877278</v>
      </c>
      <c r="I322" s="242">
        <v>4</v>
      </c>
      <c r="J322" s="241">
        <v>44606</v>
      </c>
      <c r="M322" s="242" t="s">
        <v>93</v>
      </c>
      <c r="N322" s="242">
        <v>0</v>
      </c>
      <c r="P322" s="242">
        <f t="shared" si="9"/>
        <v>0</v>
      </c>
    </row>
    <row r="323" spans="2:16" ht="16.5" customHeight="1" x14ac:dyDescent="0.45">
      <c r="B323" s="240" t="s">
        <v>719</v>
      </c>
      <c r="C323" s="241">
        <v>34867</v>
      </c>
      <c r="D323" s="242">
        <v>1</v>
      </c>
      <c r="E323" s="256">
        <v>44613</v>
      </c>
      <c r="F323" s="264">
        <v>3956759</v>
      </c>
      <c r="G323" s="264">
        <v>3403897</v>
      </c>
      <c r="H323" s="264">
        <f t="shared" ref="H323:H350" si="10">IF(I323=3,G323+F323*M323,G323+F323)</f>
        <v>7360656</v>
      </c>
      <c r="I323" s="242">
        <v>1</v>
      </c>
      <c r="J323" s="241">
        <v>44613</v>
      </c>
      <c r="M323" s="242" t="s">
        <v>93</v>
      </c>
      <c r="N323" s="242">
        <v>0</v>
      </c>
      <c r="P323" s="242">
        <f t="shared" ref="P323:P386" si="11">N323/366</f>
        <v>0</v>
      </c>
    </row>
    <row r="324" spans="2:16" ht="16.5" customHeight="1" x14ac:dyDescent="0.45">
      <c r="B324" s="240" t="s">
        <v>720</v>
      </c>
      <c r="C324" s="241">
        <v>31477</v>
      </c>
      <c r="D324" s="242">
        <v>2</v>
      </c>
      <c r="E324" s="256">
        <v>44613</v>
      </c>
      <c r="F324" s="264">
        <v>5847633</v>
      </c>
      <c r="G324" s="264">
        <v>5030566</v>
      </c>
      <c r="H324" s="264">
        <f t="shared" si="10"/>
        <v>10878199</v>
      </c>
      <c r="I324" s="242">
        <v>4</v>
      </c>
      <c r="J324" s="241">
        <v>44613</v>
      </c>
      <c r="M324" s="242" t="s">
        <v>93</v>
      </c>
      <c r="N324" s="242">
        <v>0</v>
      </c>
      <c r="P324" s="242">
        <f t="shared" si="11"/>
        <v>0</v>
      </c>
    </row>
    <row r="325" spans="2:16" ht="16.5" customHeight="1" x14ac:dyDescent="0.45">
      <c r="B325" s="240" t="s">
        <v>721</v>
      </c>
      <c r="C325" s="241">
        <v>35720</v>
      </c>
      <c r="D325" s="242">
        <v>2</v>
      </c>
      <c r="E325" s="256">
        <v>44613</v>
      </c>
      <c r="F325" s="264">
        <v>3956759</v>
      </c>
      <c r="G325" s="264">
        <v>3403897</v>
      </c>
      <c r="H325" s="264">
        <f t="shared" si="10"/>
        <v>7360656</v>
      </c>
      <c r="I325" s="242">
        <v>1</v>
      </c>
      <c r="J325" s="241">
        <v>44613</v>
      </c>
      <c r="M325" s="242" t="s">
        <v>93</v>
      </c>
      <c r="N325" s="242">
        <v>0</v>
      </c>
      <c r="P325" s="242">
        <f t="shared" si="11"/>
        <v>0</v>
      </c>
    </row>
    <row r="326" spans="2:16" ht="16.5" customHeight="1" x14ac:dyDescent="0.45">
      <c r="B326" s="240" t="s">
        <v>722</v>
      </c>
      <c r="C326" s="241">
        <v>29216</v>
      </c>
      <c r="D326" s="242">
        <v>2</v>
      </c>
      <c r="E326" s="256">
        <v>44622</v>
      </c>
      <c r="F326" s="264">
        <v>7950000</v>
      </c>
      <c r="G326" s="264">
        <v>6643151</v>
      </c>
      <c r="H326" s="264">
        <f t="shared" si="10"/>
        <v>14593151</v>
      </c>
      <c r="I326" s="242">
        <v>1</v>
      </c>
      <c r="J326" s="241">
        <v>44622</v>
      </c>
      <c r="M326" s="242" t="s">
        <v>93</v>
      </c>
      <c r="N326" s="242">
        <v>0</v>
      </c>
      <c r="P326" s="242">
        <f t="shared" si="11"/>
        <v>0</v>
      </c>
    </row>
    <row r="327" spans="2:16" ht="16.5" customHeight="1" x14ac:dyDescent="0.45">
      <c r="B327" s="240" t="s">
        <v>723</v>
      </c>
      <c r="C327" s="241">
        <v>26211</v>
      </c>
      <c r="D327" s="242">
        <v>1</v>
      </c>
      <c r="E327" s="256">
        <v>44622</v>
      </c>
      <c r="F327" s="264">
        <v>6200000</v>
      </c>
      <c r="G327" s="264">
        <v>5180822</v>
      </c>
      <c r="H327" s="264">
        <f t="shared" si="10"/>
        <v>11380822</v>
      </c>
      <c r="I327" s="242">
        <v>4</v>
      </c>
      <c r="J327" s="241">
        <v>44622</v>
      </c>
      <c r="M327" s="242" t="s">
        <v>93</v>
      </c>
      <c r="N327" s="242">
        <v>0</v>
      </c>
      <c r="P327" s="242">
        <f t="shared" si="11"/>
        <v>0</v>
      </c>
    </row>
    <row r="328" spans="2:16" ht="16.5" customHeight="1" x14ac:dyDescent="0.45">
      <c r="B328" s="240" t="s">
        <v>724</v>
      </c>
      <c r="C328" s="241">
        <v>30230</v>
      </c>
      <c r="D328" s="242">
        <v>2</v>
      </c>
      <c r="E328" s="256">
        <v>44634</v>
      </c>
      <c r="F328" s="264">
        <v>5168425</v>
      </c>
      <c r="G328" s="264">
        <v>4148900</v>
      </c>
      <c r="H328" s="264">
        <f t="shared" si="10"/>
        <v>9317325</v>
      </c>
      <c r="I328" s="242">
        <v>4</v>
      </c>
      <c r="J328" s="241">
        <v>44634</v>
      </c>
      <c r="M328" s="242" t="s">
        <v>93</v>
      </c>
      <c r="N328" s="242">
        <v>0</v>
      </c>
      <c r="P328" s="242">
        <f t="shared" si="11"/>
        <v>0</v>
      </c>
    </row>
    <row r="329" spans="2:16" ht="16.5" customHeight="1" x14ac:dyDescent="0.45">
      <c r="B329" s="240" t="s">
        <v>725</v>
      </c>
      <c r="C329" s="241">
        <v>34176</v>
      </c>
      <c r="D329" s="242">
        <v>2</v>
      </c>
      <c r="E329" s="256">
        <v>44634</v>
      </c>
      <c r="F329" s="264">
        <v>2819467</v>
      </c>
      <c r="G329" s="264">
        <v>2263298</v>
      </c>
      <c r="H329" s="264">
        <f t="shared" si="10"/>
        <v>5082765</v>
      </c>
      <c r="I329" s="242">
        <v>4</v>
      </c>
      <c r="J329" s="241">
        <v>44634</v>
      </c>
      <c r="M329" s="242" t="s">
        <v>93</v>
      </c>
      <c r="N329" s="242">
        <v>0</v>
      </c>
      <c r="P329" s="242">
        <f t="shared" si="11"/>
        <v>0</v>
      </c>
    </row>
    <row r="330" spans="2:16" ht="16.5" customHeight="1" x14ac:dyDescent="0.45">
      <c r="B330" s="240" t="s">
        <v>726</v>
      </c>
      <c r="C330" s="241">
        <v>31887</v>
      </c>
      <c r="D330" s="242">
        <v>1</v>
      </c>
      <c r="E330" s="256">
        <v>44652</v>
      </c>
      <c r="F330" s="264">
        <v>5750000</v>
      </c>
      <c r="G330" s="264">
        <v>4332192</v>
      </c>
      <c r="H330" s="264">
        <f t="shared" si="10"/>
        <v>10082192</v>
      </c>
      <c r="I330" s="242">
        <v>4</v>
      </c>
      <c r="J330" s="241">
        <v>44652</v>
      </c>
      <c r="M330" s="242" t="s">
        <v>93</v>
      </c>
      <c r="N330" s="242">
        <v>0</v>
      </c>
      <c r="P330" s="242">
        <f t="shared" si="11"/>
        <v>0</v>
      </c>
    </row>
    <row r="331" spans="2:16" ht="16.5" customHeight="1" x14ac:dyDescent="0.45">
      <c r="B331" s="240" t="s">
        <v>727</v>
      </c>
      <c r="C331" s="241">
        <v>25743</v>
      </c>
      <c r="D331" s="242">
        <v>1</v>
      </c>
      <c r="E331" s="256">
        <v>44652</v>
      </c>
      <c r="F331" s="264">
        <v>6250000</v>
      </c>
      <c r="G331" s="264">
        <v>4708904</v>
      </c>
      <c r="H331" s="264">
        <f t="shared" si="10"/>
        <v>10958904</v>
      </c>
      <c r="I331" s="242">
        <v>4</v>
      </c>
      <c r="J331" s="241">
        <v>44652</v>
      </c>
      <c r="M331" s="242" t="s">
        <v>93</v>
      </c>
      <c r="N331" s="242">
        <v>0</v>
      </c>
      <c r="P331" s="242">
        <f t="shared" si="11"/>
        <v>0</v>
      </c>
    </row>
    <row r="332" spans="2:16" ht="16.5" customHeight="1" x14ac:dyDescent="0.45">
      <c r="B332" s="240" t="s">
        <v>728</v>
      </c>
      <c r="C332" s="241">
        <v>28711</v>
      </c>
      <c r="D332" s="242">
        <v>1</v>
      </c>
      <c r="E332" s="256">
        <v>44669</v>
      </c>
      <c r="F332" s="264">
        <v>9633667</v>
      </c>
      <c r="G332" s="264">
        <v>6809551</v>
      </c>
      <c r="H332" s="264">
        <f t="shared" si="10"/>
        <v>16443218</v>
      </c>
      <c r="I332" s="242">
        <v>1</v>
      </c>
      <c r="J332" s="241">
        <v>44669</v>
      </c>
      <c r="M332" s="242" t="s">
        <v>93</v>
      </c>
      <c r="N332" s="242">
        <v>0</v>
      </c>
      <c r="P332" s="242">
        <f t="shared" si="11"/>
        <v>0</v>
      </c>
    </row>
    <row r="333" spans="2:16" ht="16.5" customHeight="1" x14ac:dyDescent="0.45">
      <c r="B333" s="240" t="s">
        <v>729</v>
      </c>
      <c r="C333" s="241">
        <v>29021</v>
      </c>
      <c r="D333" s="242">
        <v>2</v>
      </c>
      <c r="E333" s="256">
        <v>44669</v>
      </c>
      <c r="F333" s="264">
        <v>6388571</v>
      </c>
      <c r="G333" s="264">
        <v>4515757</v>
      </c>
      <c r="H333" s="264">
        <f t="shared" si="10"/>
        <v>10904328</v>
      </c>
      <c r="I333" s="242">
        <v>4</v>
      </c>
      <c r="J333" s="241">
        <v>44669</v>
      </c>
      <c r="M333" s="242" t="s">
        <v>93</v>
      </c>
      <c r="N333" s="242">
        <v>0</v>
      </c>
      <c r="P333" s="242">
        <f t="shared" si="11"/>
        <v>0</v>
      </c>
    </row>
    <row r="334" spans="2:16" ht="16.5" customHeight="1" x14ac:dyDescent="0.45">
      <c r="B334" s="240" t="s">
        <v>730</v>
      </c>
      <c r="C334" s="241">
        <v>26396</v>
      </c>
      <c r="D334" s="242">
        <v>2</v>
      </c>
      <c r="E334" s="256">
        <v>44669</v>
      </c>
      <c r="F334" s="264">
        <v>5262500</v>
      </c>
      <c r="G334" s="264">
        <v>3719795</v>
      </c>
      <c r="H334" s="264">
        <f t="shared" si="10"/>
        <v>8982295</v>
      </c>
      <c r="I334" s="242">
        <v>4</v>
      </c>
      <c r="J334" s="241">
        <v>44669</v>
      </c>
      <c r="M334" s="242" t="s">
        <v>93</v>
      </c>
      <c r="N334" s="242">
        <v>0</v>
      </c>
      <c r="P334" s="242">
        <f t="shared" si="11"/>
        <v>0</v>
      </c>
    </row>
    <row r="335" spans="2:16" ht="16.5" customHeight="1" x14ac:dyDescent="0.45">
      <c r="B335" s="240" t="s">
        <v>731</v>
      </c>
      <c r="C335" s="241">
        <v>31164</v>
      </c>
      <c r="D335" s="242">
        <v>1</v>
      </c>
      <c r="E335" s="256">
        <v>44669</v>
      </c>
      <c r="F335" s="264">
        <v>4723333</v>
      </c>
      <c r="G335" s="264">
        <v>3338685</v>
      </c>
      <c r="H335" s="264">
        <f t="shared" si="10"/>
        <v>8062018</v>
      </c>
      <c r="I335" s="242">
        <v>4</v>
      </c>
      <c r="J335" s="241">
        <v>44669</v>
      </c>
      <c r="M335" s="242" t="s">
        <v>93</v>
      </c>
      <c r="N335" s="242">
        <v>0</v>
      </c>
      <c r="P335" s="242">
        <f t="shared" si="11"/>
        <v>0</v>
      </c>
    </row>
    <row r="336" spans="2:16" ht="16.5" customHeight="1" x14ac:dyDescent="0.45">
      <c r="B336" s="240" t="s">
        <v>732</v>
      </c>
      <c r="C336" s="241">
        <v>33707</v>
      </c>
      <c r="D336" s="242">
        <v>2</v>
      </c>
      <c r="E336" s="256">
        <v>44669</v>
      </c>
      <c r="F336" s="264">
        <v>2879467</v>
      </c>
      <c r="G336" s="264">
        <v>2035349</v>
      </c>
      <c r="H336" s="264">
        <f t="shared" si="10"/>
        <v>4914816</v>
      </c>
      <c r="I336" s="242">
        <v>4</v>
      </c>
      <c r="J336" s="241">
        <v>44669</v>
      </c>
      <c r="M336" s="242" t="s">
        <v>93</v>
      </c>
      <c r="N336" s="242">
        <v>0</v>
      </c>
      <c r="P336" s="242">
        <f t="shared" si="11"/>
        <v>0</v>
      </c>
    </row>
    <row r="337" spans="2:16" ht="16.5" customHeight="1" x14ac:dyDescent="0.45">
      <c r="B337" s="240" t="s">
        <v>733</v>
      </c>
      <c r="C337" s="241">
        <v>30814</v>
      </c>
      <c r="D337" s="242">
        <v>2</v>
      </c>
      <c r="E337" s="256">
        <v>44676</v>
      </c>
      <c r="F337" s="264">
        <v>9089500</v>
      </c>
      <c r="G337" s="264">
        <v>6250588</v>
      </c>
      <c r="H337" s="264">
        <f t="shared" si="10"/>
        <v>15340088</v>
      </c>
      <c r="I337" s="242">
        <v>1</v>
      </c>
      <c r="J337" s="241">
        <v>44676</v>
      </c>
      <c r="M337" s="242" t="s">
        <v>93</v>
      </c>
      <c r="N337" s="242">
        <v>0</v>
      </c>
      <c r="P337" s="242">
        <f t="shared" si="11"/>
        <v>0</v>
      </c>
    </row>
    <row r="338" spans="2:16" ht="16.5" customHeight="1" x14ac:dyDescent="0.45">
      <c r="B338" s="240" t="s">
        <v>734</v>
      </c>
      <c r="C338" s="241">
        <v>26559</v>
      </c>
      <c r="D338" s="242">
        <v>2</v>
      </c>
      <c r="E338" s="256">
        <v>44683</v>
      </c>
      <c r="F338" s="264">
        <v>8333333</v>
      </c>
      <c r="G338" s="264">
        <v>5570776</v>
      </c>
      <c r="H338" s="264">
        <f t="shared" si="10"/>
        <v>13904109</v>
      </c>
      <c r="I338" s="242">
        <v>4</v>
      </c>
      <c r="J338" s="241">
        <v>44683</v>
      </c>
      <c r="M338" s="242" t="s">
        <v>93</v>
      </c>
      <c r="N338" s="242">
        <v>0</v>
      </c>
      <c r="P338" s="242">
        <f t="shared" si="11"/>
        <v>0</v>
      </c>
    </row>
    <row r="339" spans="2:16" ht="16.5" customHeight="1" x14ac:dyDescent="0.45">
      <c r="B339" s="240" t="s">
        <v>735</v>
      </c>
      <c r="C339" s="241">
        <v>29755</v>
      </c>
      <c r="D339" s="242">
        <v>2</v>
      </c>
      <c r="E339" s="256">
        <v>44683</v>
      </c>
      <c r="F339" s="264">
        <v>2833333</v>
      </c>
      <c r="G339" s="264">
        <v>1894064</v>
      </c>
      <c r="H339" s="264">
        <f t="shared" si="10"/>
        <v>4727397</v>
      </c>
      <c r="I339" s="242">
        <v>4</v>
      </c>
      <c r="J339" s="241">
        <v>44683</v>
      </c>
      <c r="M339" s="242" t="s">
        <v>93</v>
      </c>
      <c r="N339" s="242">
        <v>0</v>
      </c>
      <c r="P339" s="242">
        <f t="shared" si="11"/>
        <v>0</v>
      </c>
    </row>
    <row r="340" spans="2:16" ht="16.5" customHeight="1" x14ac:dyDescent="0.45">
      <c r="B340" s="240" t="s">
        <v>736</v>
      </c>
      <c r="C340" s="241">
        <v>35352</v>
      </c>
      <c r="D340" s="242">
        <v>2</v>
      </c>
      <c r="E340" s="256">
        <v>44704</v>
      </c>
      <c r="F340" s="264">
        <v>2750000</v>
      </c>
      <c r="G340" s="264">
        <v>1680137</v>
      </c>
      <c r="H340" s="264">
        <f t="shared" si="10"/>
        <v>4430137</v>
      </c>
      <c r="I340" s="242">
        <v>4</v>
      </c>
      <c r="J340" s="241">
        <v>44704</v>
      </c>
      <c r="M340" s="242" t="s">
        <v>93</v>
      </c>
      <c r="N340" s="242">
        <v>0</v>
      </c>
      <c r="P340" s="242">
        <f t="shared" si="11"/>
        <v>0</v>
      </c>
    </row>
    <row r="341" spans="2:16" ht="16.5" customHeight="1" x14ac:dyDescent="0.45">
      <c r="B341" s="240" t="s">
        <v>737</v>
      </c>
      <c r="C341" s="241">
        <v>32853</v>
      </c>
      <c r="D341" s="242">
        <v>2</v>
      </c>
      <c r="E341" s="256">
        <v>44714</v>
      </c>
      <c r="F341" s="264">
        <v>3300000</v>
      </c>
      <c r="G341" s="264">
        <v>1925753</v>
      </c>
      <c r="H341" s="264">
        <f t="shared" si="10"/>
        <v>5225753</v>
      </c>
      <c r="I341" s="242">
        <v>4</v>
      </c>
      <c r="J341" s="241">
        <v>44714</v>
      </c>
      <c r="M341" s="242" t="s">
        <v>93</v>
      </c>
      <c r="N341" s="242">
        <v>0</v>
      </c>
      <c r="P341" s="242">
        <f t="shared" si="11"/>
        <v>0</v>
      </c>
    </row>
    <row r="342" spans="2:16" ht="16.5" customHeight="1" x14ac:dyDescent="0.45">
      <c r="B342" s="240" t="s">
        <v>738</v>
      </c>
      <c r="C342" s="241">
        <v>35747</v>
      </c>
      <c r="D342" s="242">
        <v>2</v>
      </c>
      <c r="E342" s="256">
        <v>44714</v>
      </c>
      <c r="F342" s="264">
        <v>3956759</v>
      </c>
      <c r="G342" s="264">
        <v>2309013</v>
      </c>
      <c r="H342" s="264">
        <f t="shared" si="10"/>
        <v>6265772</v>
      </c>
      <c r="I342" s="242">
        <v>1</v>
      </c>
      <c r="J342" s="241">
        <v>44714</v>
      </c>
      <c r="M342" s="242" t="s">
        <v>93</v>
      </c>
      <c r="N342" s="242">
        <v>0</v>
      </c>
      <c r="P342" s="242">
        <f t="shared" si="11"/>
        <v>0</v>
      </c>
    </row>
    <row r="343" spans="2:16" ht="16.5" customHeight="1" x14ac:dyDescent="0.45">
      <c r="B343" s="240" t="s">
        <v>739</v>
      </c>
      <c r="C343" s="241">
        <v>30347</v>
      </c>
      <c r="D343" s="242">
        <v>1</v>
      </c>
      <c r="E343" s="256">
        <v>44725</v>
      </c>
      <c r="F343" s="264">
        <v>8480000</v>
      </c>
      <c r="G343" s="264">
        <v>4693041</v>
      </c>
      <c r="H343" s="264">
        <f t="shared" si="10"/>
        <v>13173041</v>
      </c>
      <c r="I343" s="242">
        <v>1</v>
      </c>
      <c r="J343" s="241">
        <v>44725</v>
      </c>
      <c r="M343" s="242" t="s">
        <v>93</v>
      </c>
      <c r="N343" s="242">
        <v>0</v>
      </c>
      <c r="P343" s="242">
        <f t="shared" si="11"/>
        <v>0</v>
      </c>
    </row>
    <row r="344" spans="2:16" ht="16.5" customHeight="1" x14ac:dyDescent="0.45">
      <c r="B344" s="240" t="s">
        <v>740</v>
      </c>
      <c r="C344" s="241">
        <v>31826</v>
      </c>
      <c r="D344" s="242">
        <v>1</v>
      </c>
      <c r="E344" s="256">
        <v>44725</v>
      </c>
      <c r="F344" s="264">
        <v>5966387</v>
      </c>
      <c r="G344" s="264">
        <v>3301946</v>
      </c>
      <c r="H344" s="264">
        <f t="shared" si="10"/>
        <v>9268333</v>
      </c>
      <c r="I344" s="242">
        <v>1</v>
      </c>
      <c r="J344" s="241">
        <v>44725</v>
      </c>
      <c r="M344" s="242" t="s">
        <v>93</v>
      </c>
      <c r="N344" s="242">
        <v>0</v>
      </c>
      <c r="P344" s="242">
        <f t="shared" si="11"/>
        <v>0</v>
      </c>
    </row>
    <row r="345" spans="2:16" ht="16.5" customHeight="1" x14ac:dyDescent="0.45">
      <c r="B345" s="240" t="s">
        <v>741</v>
      </c>
      <c r="C345" s="241">
        <v>29988</v>
      </c>
      <c r="D345" s="242">
        <v>1</v>
      </c>
      <c r="E345" s="256">
        <v>44725</v>
      </c>
      <c r="F345" s="264">
        <v>7460000</v>
      </c>
      <c r="G345" s="264">
        <v>4128548</v>
      </c>
      <c r="H345" s="264">
        <f t="shared" si="10"/>
        <v>11588548</v>
      </c>
      <c r="I345" s="242">
        <v>4</v>
      </c>
      <c r="J345" s="241">
        <v>44725</v>
      </c>
      <c r="M345" s="242" t="s">
        <v>93</v>
      </c>
      <c r="N345" s="242">
        <v>0</v>
      </c>
      <c r="P345" s="242">
        <f t="shared" si="11"/>
        <v>0</v>
      </c>
    </row>
    <row r="346" spans="2:16" ht="16.5" customHeight="1" x14ac:dyDescent="0.45">
      <c r="B346" s="240" t="s">
        <v>742</v>
      </c>
      <c r="C346" s="241">
        <v>28440</v>
      </c>
      <c r="D346" s="242">
        <v>1</v>
      </c>
      <c r="E346" s="256">
        <v>44725</v>
      </c>
      <c r="F346" s="264">
        <v>5262500</v>
      </c>
      <c r="G346" s="264">
        <v>2912397</v>
      </c>
      <c r="H346" s="264">
        <f t="shared" si="10"/>
        <v>8174897</v>
      </c>
      <c r="I346" s="242">
        <v>4</v>
      </c>
      <c r="J346" s="241">
        <v>44725</v>
      </c>
      <c r="M346" s="242" t="s">
        <v>93</v>
      </c>
      <c r="N346" s="242">
        <v>0</v>
      </c>
      <c r="P346" s="242">
        <f t="shared" si="11"/>
        <v>0</v>
      </c>
    </row>
    <row r="347" spans="2:16" ht="16.5" customHeight="1" x14ac:dyDescent="0.45">
      <c r="B347" s="240" t="s">
        <v>743</v>
      </c>
      <c r="C347" s="241">
        <v>33200</v>
      </c>
      <c r="D347" s="242">
        <v>2</v>
      </c>
      <c r="E347" s="256">
        <v>44725</v>
      </c>
      <c r="F347" s="264">
        <v>5545417</v>
      </c>
      <c r="G347" s="264">
        <v>3068971</v>
      </c>
      <c r="H347" s="264">
        <f t="shared" si="10"/>
        <v>8614388</v>
      </c>
      <c r="I347" s="242">
        <v>4</v>
      </c>
      <c r="J347" s="241">
        <v>44725</v>
      </c>
      <c r="M347" s="242" t="s">
        <v>93</v>
      </c>
      <c r="N347" s="242">
        <v>0</v>
      </c>
      <c r="P347" s="242">
        <f t="shared" si="11"/>
        <v>0</v>
      </c>
    </row>
    <row r="348" spans="2:16" ht="16.5" customHeight="1" x14ac:dyDescent="0.45">
      <c r="B348" s="240" t="s">
        <v>744</v>
      </c>
      <c r="C348" s="241">
        <v>29390</v>
      </c>
      <c r="D348" s="242">
        <v>1</v>
      </c>
      <c r="E348" s="256">
        <v>44732</v>
      </c>
      <c r="F348" s="264">
        <v>8743333</v>
      </c>
      <c r="G348" s="264">
        <v>4671096</v>
      </c>
      <c r="H348" s="264">
        <f t="shared" si="10"/>
        <v>13414429</v>
      </c>
      <c r="I348" s="242">
        <v>1</v>
      </c>
      <c r="J348" s="241">
        <v>44732</v>
      </c>
      <c r="M348" s="242" t="s">
        <v>93</v>
      </c>
      <c r="N348" s="242">
        <v>0</v>
      </c>
      <c r="P348" s="242">
        <f t="shared" si="11"/>
        <v>0</v>
      </c>
    </row>
    <row r="349" spans="2:16" ht="16.5" customHeight="1" x14ac:dyDescent="0.45">
      <c r="B349" s="240" t="s">
        <v>745</v>
      </c>
      <c r="C349" s="241">
        <v>35362</v>
      </c>
      <c r="D349" s="242">
        <v>2</v>
      </c>
      <c r="E349" s="256">
        <v>44732</v>
      </c>
      <c r="F349" s="264">
        <v>3956759</v>
      </c>
      <c r="G349" s="264">
        <v>2113885</v>
      </c>
      <c r="H349" s="264">
        <f t="shared" si="10"/>
        <v>6070644</v>
      </c>
      <c r="I349" s="242">
        <v>1</v>
      </c>
      <c r="J349" s="241">
        <v>44732</v>
      </c>
      <c r="M349" s="242" t="s">
        <v>93</v>
      </c>
      <c r="N349" s="242">
        <v>0</v>
      </c>
      <c r="P349" s="242">
        <f t="shared" si="11"/>
        <v>0</v>
      </c>
    </row>
    <row r="350" spans="2:16" ht="16.5" customHeight="1" x14ac:dyDescent="0.45">
      <c r="B350" s="240" t="s">
        <v>746</v>
      </c>
      <c r="C350" s="241">
        <v>35873</v>
      </c>
      <c r="D350" s="242">
        <v>2</v>
      </c>
      <c r="E350" s="256">
        <v>44732</v>
      </c>
      <c r="F350" s="264">
        <v>2879467</v>
      </c>
      <c r="G350" s="264">
        <v>1538345</v>
      </c>
      <c r="H350" s="264">
        <f t="shared" si="10"/>
        <v>4417812</v>
      </c>
      <c r="I350" s="242">
        <v>4</v>
      </c>
      <c r="J350" s="241">
        <v>44732</v>
      </c>
      <c r="M350" s="242" t="s">
        <v>93</v>
      </c>
      <c r="N350" s="242">
        <v>0</v>
      </c>
      <c r="P350" s="242">
        <f t="shared" si="11"/>
        <v>0</v>
      </c>
    </row>
    <row r="351" spans="2:16" ht="16.5" customHeight="1" x14ac:dyDescent="0.45">
      <c r="B351" s="240" t="s">
        <v>747</v>
      </c>
      <c r="C351" s="252">
        <v>27835</v>
      </c>
      <c r="D351" s="257">
        <v>1</v>
      </c>
      <c r="E351" s="258">
        <v>41661</v>
      </c>
      <c r="F351" s="260">
        <v>16666670</v>
      </c>
      <c r="G351" s="265">
        <v>22222227</v>
      </c>
      <c r="H351" s="260">
        <f>IF(I351=3,G351+F351*M351,G351+F351)</f>
        <v>55555567</v>
      </c>
      <c r="I351" s="257">
        <v>3</v>
      </c>
      <c r="J351" s="252">
        <v>44682</v>
      </c>
      <c r="K351" s="262"/>
      <c r="L351" s="257"/>
      <c r="M351" s="257">
        <v>2</v>
      </c>
      <c r="N351" s="257">
        <v>0</v>
      </c>
      <c r="O351" s="257"/>
      <c r="P351" s="242">
        <f t="shared" si="11"/>
        <v>0</v>
      </c>
    </row>
    <row r="352" spans="2:16" ht="16.5" customHeight="1" x14ac:dyDescent="0.45">
      <c r="B352" s="240" t="s">
        <v>748</v>
      </c>
      <c r="C352" s="241">
        <v>34690</v>
      </c>
      <c r="D352" s="242">
        <v>2</v>
      </c>
      <c r="E352" s="256">
        <v>44743</v>
      </c>
      <c r="F352" s="264">
        <v>2879467</v>
      </c>
      <c r="G352" s="264">
        <v>1451567</v>
      </c>
      <c r="H352" s="264">
        <f>IF(I352=3,G352+F352*M352,G352+F352)</f>
        <v>4331034</v>
      </c>
      <c r="I352" s="242">
        <v>4</v>
      </c>
      <c r="J352" s="241">
        <v>44743</v>
      </c>
      <c r="M352" s="242" t="s">
        <v>93</v>
      </c>
      <c r="N352" s="242">
        <v>0</v>
      </c>
      <c r="P352" s="242">
        <f t="shared" si="11"/>
        <v>0</v>
      </c>
    </row>
    <row r="353" spans="2:16" ht="16.5" customHeight="1" x14ac:dyDescent="0.45">
      <c r="B353" s="240" t="s">
        <v>749</v>
      </c>
      <c r="C353" s="241">
        <v>32103</v>
      </c>
      <c r="D353" s="242">
        <v>1</v>
      </c>
      <c r="E353" s="256">
        <v>44767</v>
      </c>
      <c r="F353" s="264">
        <v>6883333</v>
      </c>
      <c r="G353" s="264">
        <v>3017351</v>
      </c>
      <c r="H353" s="264">
        <f t="shared" ref="H353:H397" si="12">IF(I353=3,G353+F353*M353,G353+F353)</f>
        <v>9900684</v>
      </c>
      <c r="I353" s="242">
        <v>1</v>
      </c>
      <c r="J353" s="241">
        <v>44767</v>
      </c>
      <c r="M353" s="242" t="s">
        <v>93</v>
      </c>
      <c r="N353" s="242">
        <v>0</v>
      </c>
      <c r="P353" s="242">
        <f t="shared" si="11"/>
        <v>0</v>
      </c>
    </row>
    <row r="354" spans="2:16" ht="16.5" customHeight="1" x14ac:dyDescent="0.45">
      <c r="B354" s="240" t="s">
        <v>750</v>
      </c>
      <c r="C354" s="241">
        <v>34902</v>
      </c>
      <c r="D354" s="242">
        <v>2</v>
      </c>
      <c r="E354" s="256">
        <v>44743</v>
      </c>
      <c r="F354" s="264">
        <v>3177925</v>
      </c>
      <c r="G354" s="264">
        <v>1602022</v>
      </c>
      <c r="H354" s="264">
        <f t="shared" si="12"/>
        <v>4779947</v>
      </c>
      <c r="I354" s="242">
        <v>4</v>
      </c>
      <c r="J354" s="241">
        <v>44743</v>
      </c>
      <c r="M354" s="242" t="s">
        <v>93</v>
      </c>
      <c r="N354" s="242">
        <v>0</v>
      </c>
      <c r="P354" s="242">
        <f t="shared" si="11"/>
        <v>0</v>
      </c>
    </row>
    <row r="355" spans="2:16" ht="16.5" customHeight="1" x14ac:dyDescent="0.45">
      <c r="B355" s="240" t="s">
        <v>751</v>
      </c>
      <c r="C355" s="241">
        <v>33458</v>
      </c>
      <c r="D355" s="242">
        <v>2</v>
      </c>
      <c r="E355" s="256">
        <v>44743</v>
      </c>
      <c r="F355" s="264">
        <v>11091318.083333334</v>
      </c>
      <c r="G355" s="264">
        <v>5591240</v>
      </c>
      <c r="H355" s="264">
        <f t="shared" si="12"/>
        <v>16682558.083333334</v>
      </c>
      <c r="I355" s="242">
        <v>4</v>
      </c>
      <c r="J355" s="241">
        <v>44743</v>
      </c>
      <c r="M355" s="242" t="s">
        <v>93</v>
      </c>
      <c r="N355" s="242">
        <v>0</v>
      </c>
      <c r="P355" s="242">
        <f t="shared" si="11"/>
        <v>0</v>
      </c>
    </row>
    <row r="356" spans="2:16" ht="16.5" customHeight="1" x14ac:dyDescent="0.45">
      <c r="B356" s="240" t="s">
        <v>752</v>
      </c>
      <c r="C356" s="241">
        <v>34331</v>
      </c>
      <c r="D356" s="242">
        <v>2</v>
      </c>
      <c r="E356" s="256">
        <v>44760</v>
      </c>
      <c r="F356" s="264">
        <v>5798002</v>
      </c>
      <c r="G356" s="264">
        <v>2652784</v>
      </c>
      <c r="H356" s="264">
        <f t="shared" si="12"/>
        <v>8450786</v>
      </c>
      <c r="I356" s="242">
        <v>4</v>
      </c>
      <c r="J356" s="241">
        <v>44760</v>
      </c>
      <c r="M356" s="242" t="s">
        <v>93</v>
      </c>
      <c r="N356" s="242">
        <v>0</v>
      </c>
      <c r="P356" s="242">
        <f t="shared" si="11"/>
        <v>0</v>
      </c>
    </row>
    <row r="357" spans="2:16" ht="16.5" customHeight="1" x14ac:dyDescent="0.45">
      <c r="B357" s="240" t="s">
        <v>753</v>
      </c>
      <c r="C357" s="241">
        <v>30321</v>
      </c>
      <c r="D357" s="242">
        <v>2</v>
      </c>
      <c r="E357" s="256">
        <v>44743</v>
      </c>
      <c r="F357" s="264">
        <v>7950000</v>
      </c>
      <c r="G357" s="264">
        <v>4007671</v>
      </c>
      <c r="H357" s="264">
        <f t="shared" si="12"/>
        <v>11957671</v>
      </c>
      <c r="I357" s="242">
        <v>1</v>
      </c>
      <c r="J357" s="241">
        <v>44743</v>
      </c>
      <c r="M357" s="242" t="s">
        <v>93</v>
      </c>
      <c r="N357" s="242">
        <v>0</v>
      </c>
      <c r="P357" s="242">
        <f t="shared" si="11"/>
        <v>0</v>
      </c>
    </row>
    <row r="358" spans="2:16" ht="16.5" customHeight="1" x14ac:dyDescent="0.45">
      <c r="B358" s="240" t="s">
        <v>754</v>
      </c>
      <c r="C358" s="241">
        <v>34278</v>
      </c>
      <c r="D358" s="242">
        <v>2</v>
      </c>
      <c r="E358" s="256">
        <v>44743</v>
      </c>
      <c r="F358" s="264">
        <v>4250000</v>
      </c>
      <c r="G358" s="264">
        <v>2142466</v>
      </c>
      <c r="H358" s="264">
        <f t="shared" si="12"/>
        <v>6392466</v>
      </c>
      <c r="I358" s="242">
        <v>4</v>
      </c>
      <c r="J358" s="241">
        <v>44743</v>
      </c>
      <c r="M358" s="242" t="s">
        <v>93</v>
      </c>
      <c r="N358" s="242">
        <v>0</v>
      </c>
      <c r="P358" s="242">
        <f t="shared" si="11"/>
        <v>0</v>
      </c>
    </row>
    <row r="359" spans="2:16" ht="16.5" customHeight="1" x14ac:dyDescent="0.45">
      <c r="B359" s="240" t="s">
        <v>755</v>
      </c>
      <c r="C359" s="241">
        <v>29415</v>
      </c>
      <c r="D359" s="242">
        <v>2</v>
      </c>
      <c r="E359" s="256">
        <v>44760</v>
      </c>
      <c r="F359" s="264">
        <v>2750000</v>
      </c>
      <c r="G359" s="264">
        <v>1258219</v>
      </c>
      <c r="H359" s="264">
        <f t="shared" si="12"/>
        <v>4008219</v>
      </c>
      <c r="I359" s="242">
        <v>4</v>
      </c>
      <c r="J359" s="241">
        <v>44760</v>
      </c>
      <c r="M359" s="242" t="s">
        <v>93</v>
      </c>
      <c r="N359" s="242">
        <v>0</v>
      </c>
      <c r="P359" s="242">
        <f t="shared" si="11"/>
        <v>0</v>
      </c>
    </row>
    <row r="360" spans="2:16" ht="16.5" customHeight="1" x14ac:dyDescent="0.45">
      <c r="B360" s="240" t="s">
        <v>756</v>
      </c>
      <c r="C360" s="241">
        <v>31099</v>
      </c>
      <c r="D360" s="242">
        <v>2</v>
      </c>
      <c r="E360" s="256">
        <v>44774</v>
      </c>
      <c r="F360" s="264">
        <v>5545417</v>
      </c>
      <c r="G360" s="264">
        <v>2324517</v>
      </c>
      <c r="H360" s="264">
        <f t="shared" si="12"/>
        <v>7869934</v>
      </c>
      <c r="I360" s="242">
        <v>4</v>
      </c>
      <c r="J360" s="241">
        <v>44774</v>
      </c>
      <c r="M360" s="242" t="s">
        <v>93</v>
      </c>
      <c r="N360" s="242">
        <v>0</v>
      </c>
      <c r="P360" s="242">
        <f t="shared" si="11"/>
        <v>0</v>
      </c>
    </row>
    <row r="361" spans="2:16" ht="16.5" customHeight="1" x14ac:dyDescent="0.45">
      <c r="B361" s="240" t="s">
        <v>757</v>
      </c>
      <c r="C361" s="241">
        <v>34666</v>
      </c>
      <c r="D361" s="242">
        <v>2</v>
      </c>
      <c r="E361" s="256">
        <v>44774</v>
      </c>
      <c r="F361" s="264">
        <v>3525833</v>
      </c>
      <c r="G361" s="264">
        <v>1477952</v>
      </c>
      <c r="H361" s="264">
        <f t="shared" si="12"/>
        <v>5003785</v>
      </c>
      <c r="I361" s="242">
        <v>4</v>
      </c>
      <c r="J361" s="241">
        <v>44774</v>
      </c>
      <c r="M361" s="242" t="s">
        <v>93</v>
      </c>
      <c r="N361" s="242">
        <v>0</v>
      </c>
      <c r="P361" s="242">
        <f t="shared" si="11"/>
        <v>0</v>
      </c>
    </row>
    <row r="362" spans="2:16" ht="16.5" customHeight="1" x14ac:dyDescent="0.45">
      <c r="B362" s="240" t="s">
        <v>758</v>
      </c>
      <c r="C362" s="241">
        <v>34587</v>
      </c>
      <c r="D362" s="242">
        <v>2</v>
      </c>
      <c r="E362" s="256">
        <v>44783</v>
      </c>
      <c r="F362" s="264">
        <v>4166667</v>
      </c>
      <c r="G362" s="264">
        <v>1643836</v>
      </c>
      <c r="H362" s="264">
        <f t="shared" si="12"/>
        <v>5810503</v>
      </c>
      <c r="I362" s="242">
        <v>4</v>
      </c>
      <c r="J362" s="241">
        <v>44783</v>
      </c>
      <c r="M362" s="242" t="s">
        <v>93</v>
      </c>
      <c r="N362" s="242">
        <v>0</v>
      </c>
      <c r="P362" s="242">
        <f t="shared" si="11"/>
        <v>0</v>
      </c>
    </row>
    <row r="363" spans="2:16" ht="16.5" customHeight="1" x14ac:dyDescent="0.45">
      <c r="B363" s="240" t="s">
        <v>759</v>
      </c>
      <c r="C363" s="241">
        <v>32263</v>
      </c>
      <c r="D363" s="242">
        <v>2</v>
      </c>
      <c r="E363" s="256">
        <v>44778</v>
      </c>
      <c r="F363" s="264">
        <v>2711283</v>
      </c>
      <c r="G363" s="264">
        <v>1106798</v>
      </c>
      <c r="H363" s="264">
        <f t="shared" si="12"/>
        <v>3818081</v>
      </c>
      <c r="I363" s="242">
        <v>4</v>
      </c>
      <c r="J363" s="241">
        <v>44778</v>
      </c>
      <c r="M363" s="242" t="s">
        <v>93</v>
      </c>
      <c r="N363" s="242">
        <v>0</v>
      </c>
      <c r="P363" s="242">
        <f t="shared" si="11"/>
        <v>0</v>
      </c>
    </row>
    <row r="364" spans="2:16" ht="16.5" customHeight="1" x14ac:dyDescent="0.45">
      <c r="B364" s="240" t="s">
        <v>760</v>
      </c>
      <c r="C364" s="241">
        <v>33332</v>
      </c>
      <c r="D364" s="242">
        <v>1</v>
      </c>
      <c r="E364" s="256">
        <v>44823</v>
      </c>
      <c r="F364" s="264">
        <v>3755000</v>
      </c>
      <c r="G364" s="264">
        <v>1069918</v>
      </c>
      <c r="H364" s="264">
        <f t="shared" si="12"/>
        <v>4824918</v>
      </c>
      <c r="I364" s="242">
        <v>4</v>
      </c>
      <c r="J364" s="241">
        <v>44823</v>
      </c>
      <c r="M364" s="242" t="s">
        <v>93</v>
      </c>
      <c r="N364" s="242">
        <v>0</v>
      </c>
      <c r="P364" s="242">
        <f t="shared" si="11"/>
        <v>0</v>
      </c>
    </row>
    <row r="365" spans="2:16" ht="16.5" customHeight="1" x14ac:dyDescent="0.45">
      <c r="B365" s="240" t="s">
        <v>761</v>
      </c>
      <c r="C365" s="241">
        <v>33808</v>
      </c>
      <c r="D365" s="242">
        <v>2</v>
      </c>
      <c r="E365" s="256">
        <v>44805</v>
      </c>
      <c r="F365" s="264">
        <v>2711283</v>
      </c>
      <c r="G365" s="264">
        <v>906237</v>
      </c>
      <c r="H365" s="264">
        <f t="shared" si="12"/>
        <v>3617520</v>
      </c>
      <c r="I365" s="242">
        <v>4</v>
      </c>
      <c r="J365" s="241">
        <v>44805</v>
      </c>
      <c r="M365" s="242" t="s">
        <v>93</v>
      </c>
      <c r="N365" s="242">
        <v>0</v>
      </c>
      <c r="P365" s="242">
        <f t="shared" si="11"/>
        <v>0</v>
      </c>
    </row>
    <row r="366" spans="2:16" ht="16.5" customHeight="1" x14ac:dyDescent="0.45">
      <c r="B366" s="240" t="s">
        <v>762</v>
      </c>
      <c r="C366" s="241">
        <v>31989</v>
      </c>
      <c r="D366" s="242">
        <v>1</v>
      </c>
      <c r="E366" s="256">
        <v>44823</v>
      </c>
      <c r="F366" s="264">
        <v>6625000</v>
      </c>
      <c r="G366" s="264">
        <v>1887671</v>
      </c>
      <c r="H366" s="264">
        <f t="shared" si="12"/>
        <v>8512671</v>
      </c>
      <c r="I366" s="242">
        <v>1</v>
      </c>
      <c r="J366" s="241">
        <v>44823</v>
      </c>
      <c r="M366" s="242" t="s">
        <v>93</v>
      </c>
      <c r="N366" s="242">
        <v>0</v>
      </c>
      <c r="P366" s="242">
        <f t="shared" si="11"/>
        <v>0</v>
      </c>
    </row>
    <row r="367" spans="2:16" ht="16.5" customHeight="1" x14ac:dyDescent="0.45">
      <c r="B367" s="240" t="s">
        <v>763</v>
      </c>
      <c r="C367" s="241">
        <v>33493</v>
      </c>
      <c r="D367" s="242">
        <v>1</v>
      </c>
      <c r="E367" s="256">
        <v>44817</v>
      </c>
      <c r="F367" s="264">
        <v>5000000</v>
      </c>
      <c r="G367" s="264">
        <v>1506849</v>
      </c>
      <c r="H367" s="264">
        <f t="shared" si="12"/>
        <v>6506849</v>
      </c>
      <c r="I367" s="242">
        <v>4</v>
      </c>
      <c r="J367" s="241">
        <v>44817</v>
      </c>
      <c r="M367" s="242" t="s">
        <v>93</v>
      </c>
      <c r="N367" s="242">
        <v>0</v>
      </c>
      <c r="P367" s="242">
        <f t="shared" si="11"/>
        <v>0</v>
      </c>
    </row>
    <row r="368" spans="2:16" ht="16.5" customHeight="1" x14ac:dyDescent="0.45">
      <c r="B368" s="240" t="s">
        <v>764</v>
      </c>
      <c r="C368" s="241">
        <v>35678</v>
      </c>
      <c r="D368" s="242">
        <v>2</v>
      </c>
      <c r="E368" s="256">
        <v>44830</v>
      </c>
      <c r="F368" s="264">
        <v>3000000</v>
      </c>
      <c r="G368" s="264">
        <v>797260</v>
      </c>
      <c r="H368" s="264">
        <f t="shared" si="12"/>
        <v>3797260</v>
      </c>
      <c r="I368" s="242">
        <v>4</v>
      </c>
      <c r="J368" s="241">
        <v>44830</v>
      </c>
      <c r="M368" s="242" t="s">
        <v>93</v>
      </c>
      <c r="N368" s="242">
        <v>0</v>
      </c>
      <c r="P368" s="242">
        <f t="shared" si="11"/>
        <v>0</v>
      </c>
    </row>
    <row r="369" spans="2:16" ht="16.5" customHeight="1" x14ac:dyDescent="0.45">
      <c r="B369" s="240" t="s">
        <v>765</v>
      </c>
      <c r="C369" s="241">
        <v>35916</v>
      </c>
      <c r="D369" s="242">
        <v>2</v>
      </c>
      <c r="E369" s="256">
        <v>44830</v>
      </c>
      <c r="F369" s="264">
        <v>2836740</v>
      </c>
      <c r="G369" s="264">
        <v>753873</v>
      </c>
      <c r="H369" s="264">
        <f t="shared" si="12"/>
        <v>3590613</v>
      </c>
      <c r="I369" s="242">
        <v>4</v>
      </c>
      <c r="J369" s="241">
        <v>44830</v>
      </c>
      <c r="M369" s="242" t="s">
        <v>93</v>
      </c>
      <c r="N369" s="242">
        <v>0</v>
      </c>
      <c r="P369" s="242">
        <f t="shared" si="11"/>
        <v>0</v>
      </c>
    </row>
    <row r="370" spans="2:16" ht="16.5" customHeight="1" x14ac:dyDescent="0.45">
      <c r="B370" s="240" t="s">
        <v>766</v>
      </c>
      <c r="C370" s="241">
        <v>29248</v>
      </c>
      <c r="D370" s="242">
        <v>1</v>
      </c>
      <c r="E370" s="256">
        <v>44809</v>
      </c>
      <c r="F370" s="264">
        <v>4000000</v>
      </c>
      <c r="G370" s="264">
        <v>1293151</v>
      </c>
      <c r="H370" s="264">
        <f t="shared" si="12"/>
        <v>5293151</v>
      </c>
      <c r="I370" s="242">
        <v>4</v>
      </c>
      <c r="J370" s="241">
        <v>44809</v>
      </c>
      <c r="M370" s="242" t="s">
        <v>93</v>
      </c>
      <c r="N370" s="242">
        <v>0</v>
      </c>
      <c r="P370" s="242">
        <f t="shared" si="11"/>
        <v>0</v>
      </c>
    </row>
    <row r="371" spans="2:16" ht="16.5" customHeight="1" x14ac:dyDescent="0.45">
      <c r="B371" s="240" t="s">
        <v>767</v>
      </c>
      <c r="C371" s="241">
        <v>29380</v>
      </c>
      <c r="D371" s="242">
        <v>1</v>
      </c>
      <c r="E371" s="256">
        <v>44805</v>
      </c>
      <c r="F371" s="264">
        <v>10027292</v>
      </c>
      <c r="G371" s="264">
        <v>3351588</v>
      </c>
      <c r="H371" s="264">
        <f t="shared" si="12"/>
        <v>13378880</v>
      </c>
      <c r="I371" s="242">
        <v>1</v>
      </c>
      <c r="J371" s="241">
        <v>44805</v>
      </c>
      <c r="M371" s="242" t="s">
        <v>93</v>
      </c>
      <c r="N371" s="242">
        <v>0</v>
      </c>
      <c r="P371" s="242">
        <f t="shared" si="11"/>
        <v>0</v>
      </c>
    </row>
    <row r="372" spans="2:16" ht="16.5" customHeight="1" x14ac:dyDescent="0.45">
      <c r="B372" s="240" t="s">
        <v>768</v>
      </c>
      <c r="C372" s="241">
        <v>32952</v>
      </c>
      <c r="D372" s="242">
        <v>1</v>
      </c>
      <c r="E372" s="256">
        <v>44823</v>
      </c>
      <c r="F372" s="264">
        <v>5204745</v>
      </c>
      <c r="G372" s="264">
        <v>1482996</v>
      </c>
      <c r="H372" s="264">
        <f t="shared" si="12"/>
        <v>6687741</v>
      </c>
      <c r="I372" s="242">
        <v>4</v>
      </c>
      <c r="J372" s="241">
        <v>44823</v>
      </c>
      <c r="M372" s="242" t="s">
        <v>93</v>
      </c>
      <c r="N372" s="242">
        <v>0</v>
      </c>
      <c r="P372" s="242">
        <f t="shared" si="11"/>
        <v>0</v>
      </c>
    </row>
    <row r="373" spans="2:16" ht="16.5" customHeight="1" x14ac:dyDescent="0.45">
      <c r="B373" s="240" t="s">
        <v>769</v>
      </c>
      <c r="C373" s="252">
        <v>28984</v>
      </c>
      <c r="D373" s="257">
        <v>2</v>
      </c>
      <c r="E373" s="258">
        <v>44845</v>
      </c>
      <c r="F373" s="260">
        <v>5185000</v>
      </c>
      <c r="G373" s="260">
        <v>1164849</v>
      </c>
      <c r="H373" s="260">
        <f t="shared" si="12"/>
        <v>6349849</v>
      </c>
      <c r="I373" s="257">
        <v>4</v>
      </c>
      <c r="J373" s="252">
        <v>44845</v>
      </c>
      <c r="K373" s="262"/>
      <c r="L373" s="257"/>
      <c r="M373" s="257" t="s">
        <v>93</v>
      </c>
      <c r="N373" s="257">
        <v>0</v>
      </c>
      <c r="P373" s="242">
        <f t="shared" si="11"/>
        <v>0</v>
      </c>
    </row>
    <row r="374" spans="2:16" ht="16.5" customHeight="1" x14ac:dyDescent="0.45">
      <c r="B374" s="240" t="s">
        <v>770</v>
      </c>
      <c r="C374" s="252">
        <v>34717</v>
      </c>
      <c r="D374" s="257">
        <v>1</v>
      </c>
      <c r="E374" s="258">
        <v>44845</v>
      </c>
      <c r="F374" s="260">
        <v>3441741</v>
      </c>
      <c r="G374" s="260">
        <v>773213</v>
      </c>
      <c r="H374" s="260">
        <f t="shared" si="12"/>
        <v>4214954</v>
      </c>
      <c r="I374" s="257">
        <v>4</v>
      </c>
      <c r="J374" s="252">
        <v>44845</v>
      </c>
      <c r="K374" s="262"/>
      <c r="L374" s="257"/>
      <c r="M374" s="257" t="s">
        <v>93</v>
      </c>
      <c r="N374" s="257">
        <v>0</v>
      </c>
      <c r="P374" s="242">
        <f t="shared" si="11"/>
        <v>0</v>
      </c>
    </row>
    <row r="375" spans="2:16" ht="16.5" customHeight="1" x14ac:dyDescent="0.45">
      <c r="B375" s="240" t="s">
        <v>771</v>
      </c>
      <c r="C375" s="252">
        <v>32561</v>
      </c>
      <c r="D375" s="257">
        <v>2</v>
      </c>
      <c r="E375" s="258">
        <v>44845</v>
      </c>
      <c r="F375" s="260">
        <v>6448333</v>
      </c>
      <c r="G375" s="260">
        <v>1448667</v>
      </c>
      <c r="H375" s="260">
        <f t="shared" si="12"/>
        <v>7897000</v>
      </c>
      <c r="I375" s="257">
        <v>1</v>
      </c>
      <c r="J375" s="252">
        <v>44845</v>
      </c>
      <c r="K375" s="262"/>
      <c r="L375" s="257"/>
      <c r="M375" s="257" t="s">
        <v>93</v>
      </c>
      <c r="N375" s="257">
        <v>0</v>
      </c>
      <c r="P375" s="242">
        <f t="shared" si="11"/>
        <v>0</v>
      </c>
    </row>
    <row r="376" spans="2:16" ht="16.5" customHeight="1" x14ac:dyDescent="0.45">
      <c r="B376" s="240" t="s">
        <v>772</v>
      </c>
      <c r="C376" s="252">
        <v>33558</v>
      </c>
      <c r="D376" s="257">
        <v>2</v>
      </c>
      <c r="E376" s="258">
        <v>44851</v>
      </c>
      <c r="F376" s="260">
        <v>5000000</v>
      </c>
      <c r="G376" s="260">
        <v>1041096</v>
      </c>
      <c r="H376" s="260">
        <f t="shared" si="12"/>
        <v>6041096</v>
      </c>
      <c r="I376" s="257">
        <v>4</v>
      </c>
      <c r="J376" s="252">
        <v>44851</v>
      </c>
      <c r="K376" s="262"/>
      <c r="L376" s="257"/>
      <c r="M376" s="257" t="s">
        <v>93</v>
      </c>
      <c r="N376" s="257">
        <v>0</v>
      </c>
      <c r="P376" s="242">
        <f t="shared" si="11"/>
        <v>0</v>
      </c>
    </row>
    <row r="377" spans="2:16" ht="16.5" customHeight="1" x14ac:dyDescent="0.45">
      <c r="B377" s="240" t="s">
        <v>773</v>
      </c>
      <c r="C377" s="252">
        <v>34779</v>
      </c>
      <c r="D377" s="257">
        <v>2</v>
      </c>
      <c r="E377" s="258">
        <v>44851</v>
      </c>
      <c r="F377" s="260">
        <v>2819500</v>
      </c>
      <c r="G377" s="260">
        <v>587074</v>
      </c>
      <c r="H377" s="260">
        <f t="shared" si="12"/>
        <v>3406574</v>
      </c>
      <c r="I377" s="257">
        <v>4</v>
      </c>
      <c r="J377" s="252">
        <v>44851</v>
      </c>
      <c r="K377" s="262"/>
      <c r="L377" s="257"/>
      <c r="M377" s="257" t="s">
        <v>93</v>
      </c>
      <c r="N377" s="257">
        <v>0</v>
      </c>
      <c r="P377" s="242">
        <f t="shared" si="11"/>
        <v>0</v>
      </c>
    </row>
    <row r="378" spans="2:16" ht="16.5" customHeight="1" x14ac:dyDescent="0.45">
      <c r="B378" s="240" t="s">
        <v>774</v>
      </c>
      <c r="C378" s="252">
        <v>35714</v>
      </c>
      <c r="D378" s="257">
        <v>2</v>
      </c>
      <c r="E378" s="258">
        <v>44851</v>
      </c>
      <c r="F378" s="260">
        <v>2943649</v>
      </c>
      <c r="G378" s="260">
        <v>612924</v>
      </c>
      <c r="H378" s="260">
        <f t="shared" si="12"/>
        <v>3556573</v>
      </c>
      <c r="I378" s="257">
        <v>4</v>
      </c>
      <c r="J378" s="252">
        <v>44851</v>
      </c>
      <c r="K378" s="262"/>
      <c r="L378" s="257"/>
      <c r="M378" s="257" t="s">
        <v>93</v>
      </c>
      <c r="N378" s="257">
        <v>0</v>
      </c>
      <c r="P378" s="242">
        <f t="shared" si="11"/>
        <v>0</v>
      </c>
    </row>
    <row r="379" spans="2:16" ht="16.5" customHeight="1" x14ac:dyDescent="0.45">
      <c r="B379" s="240" t="s">
        <v>775</v>
      </c>
      <c r="C379" s="252">
        <v>28395</v>
      </c>
      <c r="D379" s="257">
        <v>2</v>
      </c>
      <c r="E379" s="258">
        <v>44866</v>
      </c>
      <c r="F379" s="260">
        <v>7950000</v>
      </c>
      <c r="G379" s="260">
        <v>1328630</v>
      </c>
      <c r="H379" s="260">
        <f t="shared" si="12"/>
        <v>9278630</v>
      </c>
      <c r="I379" s="257">
        <v>1</v>
      </c>
      <c r="J379" s="252">
        <v>44866</v>
      </c>
      <c r="K379" s="262"/>
      <c r="L379" s="257"/>
      <c r="M379" s="257" t="s">
        <v>93</v>
      </c>
      <c r="N379" s="257">
        <v>0</v>
      </c>
      <c r="P379" s="242">
        <f t="shared" si="11"/>
        <v>0</v>
      </c>
    </row>
    <row r="380" spans="2:16" ht="16.5" customHeight="1" x14ac:dyDescent="0.45">
      <c r="B380" s="240" t="s">
        <v>776</v>
      </c>
      <c r="C380" s="252">
        <v>32674</v>
      </c>
      <c r="D380" s="257">
        <v>1</v>
      </c>
      <c r="E380" s="258">
        <v>44866</v>
      </c>
      <c r="F380" s="260">
        <v>5731950</v>
      </c>
      <c r="G380" s="260">
        <v>957942</v>
      </c>
      <c r="H380" s="260">
        <f t="shared" si="12"/>
        <v>6689892</v>
      </c>
      <c r="I380" s="257">
        <v>1</v>
      </c>
      <c r="J380" s="252">
        <v>44866</v>
      </c>
      <c r="K380" s="262"/>
      <c r="L380" s="257"/>
      <c r="M380" s="257" t="s">
        <v>93</v>
      </c>
      <c r="N380" s="257">
        <v>0</v>
      </c>
      <c r="P380" s="242">
        <f t="shared" si="11"/>
        <v>0</v>
      </c>
    </row>
    <row r="381" spans="2:16" ht="16.5" customHeight="1" x14ac:dyDescent="0.45">
      <c r="B381" s="240" t="s">
        <v>777</v>
      </c>
      <c r="C381" s="252">
        <v>31398</v>
      </c>
      <c r="D381" s="257">
        <v>1</v>
      </c>
      <c r="E381" s="258">
        <v>44872</v>
      </c>
      <c r="F381" s="260">
        <v>7501667</v>
      </c>
      <c r="G381" s="260">
        <v>1130388</v>
      </c>
      <c r="H381" s="260">
        <f t="shared" si="12"/>
        <v>8632055</v>
      </c>
      <c r="I381" s="257">
        <v>1</v>
      </c>
      <c r="J381" s="252">
        <v>44872</v>
      </c>
      <c r="K381" s="262"/>
      <c r="L381" s="257"/>
      <c r="M381" s="257" t="s">
        <v>93</v>
      </c>
      <c r="N381" s="257">
        <v>0</v>
      </c>
      <c r="P381" s="242">
        <f t="shared" si="11"/>
        <v>0</v>
      </c>
    </row>
    <row r="382" spans="2:16" ht="16.5" customHeight="1" x14ac:dyDescent="0.45">
      <c r="B382" s="240" t="s">
        <v>778</v>
      </c>
      <c r="C382" s="252">
        <v>34724</v>
      </c>
      <c r="D382" s="257">
        <v>2</v>
      </c>
      <c r="E382" s="258">
        <v>44879</v>
      </c>
      <c r="F382" s="260">
        <v>4016119</v>
      </c>
      <c r="G382" s="260">
        <v>528147</v>
      </c>
      <c r="H382" s="260">
        <f t="shared" si="12"/>
        <v>4544266</v>
      </c>
      <c r="I382" s="257">
        <v>1</v>
      </c>
      <c r="J382" s="252">
        <v>44879</v>
      </c>
      <c r="K382" s="262"/>
      <c r="L382" s="257"/>
      <c r="M382" s="257" t="s">
        <v>93</v>
      </c>
      <c r="N382" s="257">
        <v>0</v>
      </c>
      <c r="P382" s="242">
        <f t="shared" si="11"/>
        <v>0</v>
      </c>
    </row>
    <row r="383" spans="2:16" ht="16.5" customHeight="1" x14ac:dyDescent="0.45">
      <c r="B383" s="240" t="s">
        <v>779</v>
      </c>
      <c r="C383" s="252">
        <v>32166</v>
      </c>
      <c r="D383" s="257">
        <v>2</v>
      </c>
      <c r="E383" s="258">
        <v>44879</v>
      </c>
      <c r="F383" s="260">
        <v>4168617</v>
      </c>
      <c r="G383" s="260">
        <v>548202</v>
      </c>
      <c r="H383" s="260">
        <f t="shared" si="12"/>
        <v>4716819</v>
      </c>
      <c r="I383" s="257">
        <v>4</v>
      </c>
      <c r="J383" s="252">
        <v>44879</v>
      </c>
      <c r="K383" s="262"/>
      <c r="L383" s="257"/>
      <c r="M383" s="257" t="s">
        <v>93</v>
      </c>
      <c r="N383" s="257">
        <v>0</v>
      </c>
      <c r="P383" s="242">
        <f t="shared" si="11"/>
        <v>0</v>
      </c>
    </row>
    <row r="384" spans="2:16" ht="16.5" customHeight="1" x14ac:dyDescent="0.45">
      <c r="B384" s="240" t="s">
        <v>780</v>
      </c>
      <c r="C384" s="252">
        <v>30696</v>
      </c>
      <c r="D384" s="257">
        <v>1</v>
      </c>
      <c r="E384" s="258">
        <v>44886</v>
      </c>
      <c r="F384" s="260">
        <v>5083333</v>
      </c>
      <c r="G384" s="260">
        <v>571005</v>
      </c>
      <c r="H384" s="260">
        <f t="shared" si="12"/>
        <v>5654338</v>
      </c>
      <c r="I384" s="257">
        <v>4</v>
      </c>
      <c r="J384" s="252">
        <v>44886</v>
      </c>
      <c r="K384" s="262"/>
      <c r="L384" s="257"/>
      <c r="M384" s="257" t="s">
        <v>93</v>
      </c>
      <c r="N384" s="257">
        <v>0</v>
      </c>
      <c r="P384" s="242">
        <f t="shared" si="11"/>
        <v>0</v>
      </c>
    </row>
    <row r="385" spans="2:16" ht="16.5" customHeight="1" x14ac:dyDescent="0.45">
      <c r="B385" s="240" t="s">
        <v>781</v>
      </c>
      <c r="C385" s="252">
        <v>35258</v>
      </c>
      <c r="D385" s="257">
        <v>1</v>
      </c>
      <c r="E385" s="258">
        <v>44886</v>
      </c>
      <c r="F385" s="260">
        <v>3956759</v>
      </c>
      <c r="G385" s="260">
        <v>444458</v>
      </c>
      <c r="H385" s="260">
        <f t="shared" si="12"/>
        <v>4401217</v>
      </c>
      <c r="I385" s="257">
        <v>1</v>
      </c>
      <c r="J385" s="252">
        <v>44886</v>
      </c>
      <c r="K385" s="262"/>
      <c r="L385" s="257"/>
      <c r="M385" s="257" t="s">
        <v>93</v>
      </c>
      <c r="N385" s="257">
        <v>0</v>
      </c>
      <c r="P385" s="242">
        <f t="shared" si="11"/>
        <v>0</v>
      </c>
    </row>
    <row r="386" spans="2:16" ht="16.5" customHeight="1" x14ac:dyDescent="0.45">
      <c r="B386" s="240" t="s">
        <v>782</v>
      </c>
      <c r="C386" s="252">
        <v>36157</v>
      </c>
      <c r="D386" s="257">
        <v>2</v>
      </c>
      <c r="E386" s="258">
        <v>44886</v>
      </c>
      <c r="F386" s="260">
        <v>3956759</v>
      </c>
      <c r="G386" s="260">
        <v>444458</v>
      </c>
      <c r="H386" s="260">
        <f t="shared" si="12"/>
        <v>4401217</v>
      </c>
      <c r="I386" s="257">
        <v>1</v>
      </c>
      <c r="J386" s="252">
        <v>44886</v>
      </c>
      <c r="K386" s="262"/>
      <c r="L386" s="257"/>
      <c r="M386" s="257" t="s">
        <v>93</v>
      </c>
      <c r="N386" s="257">
        <v>0</v>
      </c>
      <c r="P386" s="242">
        <f t="shared" si="11"/>
        <v>0</v>
      </c>
    </row>
    <row r="387" spans="2:16" ht="16.5" customHeight="1" x14ac:dyDescent="0.45">
      <c r="B387" s="240" t="s">
        <v>783</v>
      </c>
      <c r="C387" s="252">
        <v>31646</v>
      </c>
      <c r="D387" s="257">
        <v>1</v>
      </c>
      <c r="E387" s="258">
        <v>44886</v>
      </c>
      <c r="F387" s="260">
        <v>6801667</v>
      </c>
      <c r="G387" s="260">
        <v>764023</v>
      </c>
      <c r="H387" s="260">
        <f t="shared" si="12"/>
        <v>7565690</v>
      </c>
      <c r="I387" s="257">
        <v>1</v>
      </c>
      <c r="J387" s="252">
        <v>44886</v>
      </c>
      <c r="K387" s="262"/>
      <c r="L387" s="257"/>
      <c r="M387" s="257" t="s">
        <v>93</v>
      </c>
      <c r="N387" s="257">
        <v>0</v>
      </c>
      <c r="P387" s="242">
        <f t="shared" ref="P387:P397" si="13">N387/366</f>
        <v>0</v>
      </c>
    </row>
    <row r="388" spans="2:16" ht="16.5" customHeight="1" x14ac:dyDescent="0.45">
      <c r="B388" s="240" t="s">
        <v>784</v>
      </c>
      <c r="C388" s="252">
        <v>35034</v>
      </c>
      <c r="D388" s="257">
        <v>2</v>
      </c>
      <c r="E388" s="258">
        <v>44886</v>
      </c>
      <c r="F388" s="260">
        <v>4076363</v>
      </c>
      <c r="G388" s="260">
        <v>457893</v>
      </c>
      <c r="H388" s="260">
        <f t="shared" si="12"/>
        <v>4534256</v>
      </c>
      <c r="I388" s="257">
        <v>1</v>
      </c>
      <c r="J388" s="252">
        <v>44886</v>
      </c>
      <c r="K388" s="262"/>
      <c r="L388" s="257"/>
      <c r="M388" s="257" t="s">
        <v>93</v>
      </c>
      <c r="N388" s="257">
        <v>0</v>
      </c>
      <c r="P388" s="242">
        <f t="shared" si="13"/>
        <v>0</v>
      </c>
    </row>
    <row r="389" spans="2:16" ht="16.5" customHeight="1" x14ac:dyDescent="0.45">
      <c r="B389" s="240" t="s">
        <v>785</v>
      </c>
      <c r="C389" s="252">
        <v>28792</v>
      </c>
      <c r="D389" s="257">
        <v>1</v>
      </c>
      <c r="E389" s="258">
        <v>44896</v>
      </c>
      <c r="F389" s="260">
        <v>9096667</v>
      </c>
      <c r="G389" s="260">
        <v>772594</v>
      </c>
      <c r="H389" s="260">
        <f t="shared" si="12"/>
        <v>9869261</v>
      </c>
      <c r="I389" s="257">
        <v>1</v>
      </c>
      <c r="J389" s="252">
        <v>44896</v>
      </c>
      <c r="K389" s="262"/>
      <c r="L389" s="257"/>
      <c r="M389" s="257" t="s">
        <v>93</v>
      </c>
      <c r="N389" s="257">
        <v>0</v>
      </c>
      <c r="P389" s="242">
        <f t="shared" si="13"/>
        <v>0</v>
      </c>
    </row>
    <row r="390" spans="2:16" ht="16.5" customHeight="1" x14ac:dyDescent="0.45">
      <c r="B390" s="240" t="s">
        <v>786</v>
      </c>
      <c r="C390" s="252">
        <v>29224</v>
      </c>
      <c r="D390" s="257">
        <v>1</v>
      </c>
      <c r="E390" s="258">
        <v>44896</v>
      </c>
      <c r="F390" s="260">
        <v>7685000</v>
      </c>
      <c r="G390" s="260">
        <v>652699</v>
      </c>
      <c r="H390" s="260">
        <f t="shared" si="12"/>
        <v>8337699</v>
      </c>
      <c r="I390" s="257">
        <v>1</v>
      </c>
      <c r="J390" s="252">
        <v>44896</v>
      </c>
      <c r="K390" s="262"/>
      <c r="L390" s="257"/>
      <c r="M390" s="257" t="s">
        <v>93</v>
      </c>
      <c r="N390" s="257">
        <v>0</v>
      </c>
      <c r="P390" s="242">
        <f t="shared" si="13"/>
        <v>0</v>
      </c>
    </row>
    <row r="391" spans="2:16" ht="16.5" customHeight="1" x14ac:dyDescent="0.45">
      <c r="B391" s="240" t="s">
        <v>787</v>
      </c>
      <c r="C391" s="252">
        <v>24607</v>
      </c>
      <c r="D391" s="257">
        <v>2</v>
      </c>
      <c r="E391" s="258">
        <v>44914</v>
      </c>
      <c r="F391" s="260">
        <v>6500000</v>
      </c>
      <c r="G391" s="260">
        <v>231507</v>
      </c>
      <c r="H391" s="260">
        <f t="shared" si="12"/>
        <v>6731507</v>
      </c>
      <c r="I391" s="257">
        <v>4</v>
      </c>
      <c r="J391" s="252">
        <v>44914</v>
      </c>
      <c r="K391" s="262"/>
      <c r="L391" s="257"/>
      <c r="M391" s="257" t="s">
        <v>93</v>
      </c>
      <c r="N391" s="257">
        <v>0</v>
      </c>
      <c r="P391" s="242">
        <f t="shared" si="13"/>
        <v>0</v>
      </c>
    </row>
    <row r="392" spans="2:16" ht="16.5" customHeight="1" x14ac:dyDescent="0.45">
      <c r="B392" s="240" t="s">
        <v>788</v>
      </c>
      <c r="C392" s="252">
        <v>34071</v>
      </c>
      <c r="D392" s="257">
        <v>2</v>
      </c>
      <c r="E392" s="258">
        <v>44914</v>
      </c>
      <c r="F392" s="260">
        <v>3166667</v>
      </c>
      <c r="G392" s="260">
        <v>112785</v>
      </c>
      <c r="H392" s="260">
        <f t="shared" si="12"/>
        <v>3279452</v>
      </c>
      <c r="I392" s="257">
        <v>4</v>
      </c>
      <c r="J392" s="252">
        <v>44914</v>
      </c>
      <c r="K392" s="262"/>
      <c r="L392" s="257"/>
      <c r="M392" s="257" t="s">
        <v>93</v>
      </c>
      <c r="N392" s="257">
        <v>0</v>
      </c>
      <c r="P392" s="242">
        <f t="shared" si="13"/>
        <v>0</v>
      </c>
    </row>
    <row r="393" spans="2:16" ht="16.5" customHeight="1" x14ac:dyDescent="0.45">
      <c r="B393" s="240" t="s">
        <v>789</v>
      </c>
      <c r="C393" s="252">
        <v>28382</v>
      </c>
      <c r="D393" s="257">
        <v>1</v>
      </c>
      <c r="E393" s="258">
        <v>44914</v>
      </c>
      <c r="F393" s="260">
        <v>7685000</v>
      </c>
      <c r="G393" s="260">
        <v>273712</v>
      </c>
      <c r="H393" s="260">
        <f t="shared" si="12"/>
        <v>7958712</v>
      </c>
      <c r="I393" s="257">
        <v>1</v>
      </c>
      <c r="J393" s="252">
        <v>44914</v>
      </c>
      <c r="K393" s="262"/>
      <c r="L393" s="257"/>
      <c r="M393" s="257" t="s">
        <v>93</v>
      </c>
      <c r="N393" s="257">
        <v>0</v>
      </c>
      <c r="P393" s="242">
        <f t="shared" si="13"/>
        <v>0</v>
      </c>
    </row>
    <row r="394" spans="2:16" ht="16.5" customHeight="1" x14ac:dyDescent="0.45">
      <c r="B394" s="240" t="s">
        <v>790</v>
      </c>
      <c r="C394" s="252">
        <v>29404</v>
      </c>
      <c r="D394" s="257">
        <v>2</v>
      </c>
      <c r="E394" s="258">
        <v>44921</v>
      </c>
      <c r="F394" s="260">
        <v>6826223</v>
      </c>
      <c r="G394" s="260">
        <v>112212</v>
      </c>
      <c r="H394" s="260">
        <f t="shared" si="12"/>
        <v>6938435</v>
      </c>
      <c r="I394" s="257">
        <v>1</v>
      </c>
      <c r="J394" s="252">
        <v>44921</v>
      </c>
      <c r="K394" s="262"/>
      <c r="L394" s="257"/>
      <c r="M394" s="257" t="s">
        <v>93</v>
      </c>
      <c r="N394" s="257">
        <v>0</v>
      </c>
      <c r="P394" s="242">
        <f t="shared" si="13"/>
        <v>0</v>
      </c>
    </row>
    <row r="395" spans="2:16" ht="16.5" customHeight="1" x14ac:dyDescent="0.45">
      <c r="B395" s="240" t="s">
        <v>791</v>
      </c>
      <c r="C395" s="252">
        <v>31070</v>
      </c>
      <c r="D395" s="257">
        <v>1</v>
      </c>
      <c r="E395" s="258">
        <v>44921</v>
      </c>
      <c r="F395" s="260">
        <v>6625000</v>
      </c>
      <c r="G395" s="260">
        <v>108904</v>
      </c>
      <c r="H395" s="260">
        <f t="shared" si="12"/>
        <v>6733904</v>
      </c>
      <c r="I395" s="257">
        <v>1</v>
      </c>
      <c r="J395" s="252">
        <v>44921</v>
      </c>
      <c r="K395" s="262"/>
      <c r="L395" s="257"/>
      <c r="M395" s="257" t="s">
        <v>93</v>
      </c>
      <c r="N395" s="257">
        <v>0</v>
      </c>
      <c r="P395" s="242">
        <f t="shared" si="13"/>
        <v>0</v>
      </c>
    </row>
    <row r="396" spans="2:16" ht="16.5" customHeight="1" x14ac:dyDescent="0.45">
      <c r="B396" s="240" t="s">
        <v>792</v>
      </c>
      <c r="C396" s="252">
        <v>27397</v>
      </c>
      <c r="D396" s="257">
        <v>1</v>
      </c>
      <c r="E396" s="258">
        <v>44921</v>
      </c>
      <c r="F396" s="260">
        <v>5833333</v>
      </c>
      <c r="G396" s="260">
        <v>95890</v>
      </c>
      <c r="H396" s="260">
        <f t="shared" si="12"/>
        <v>5929223</v>
      </c>
      <c r="I396" s="257">
        <v>4</v>
      </c>
      <c r="J396" s="252">
        <v>44921</v>
      </c>
      <c r="K396" s="262"/>
      <c r="L396" s="257"/>
      <c r="M396" s="257" t="s">
        <v>93</v>
      </c>
      <c r="N396" s="257">
        <v>0</v>
      </c>
      <c r="P396" s="242">
        <f t="shared" si="13"/>
        <v>0</v>
      </c>
    </row>
    <row r="397" spans="2:16" ht="16.5" customHeight="1" x14ac:dyDescent="0.45">
      <c r="B397" s="240" t="s">
        <v>793</v>
      </c>
      <c r="C397" s="252">
        <v>32944</v>
      </c>
      <c r="D397" s="257">
        <v>1</v>
      </c>
      <c r="E397" s="258">
        <v>44921</v>
      </c>
      <c r="F397" s="260">
        <v>6095000</v>
      </c>
      <c r="G397" s="260">
        <v>100192</v>
      </c>
      <c r="H397" s="260">
        <f t="shared" si="12"/>
        <v>6195192</v>
      </c>
      <c r="I397" s="257">
        <v>1</v>
      </c>
      <c r="J397" s="252">
        <v>44921</v>
      </c>
      <c r="K397" s="262"/>
      <c r="L397" s="257"/>
      <c r="M397" s="257" t="s">
        <v>93</v>
      </c>
      <c r="N397" s="257">
        <v>0</v>
      </c>
      <c r="P397" s="242">
        <f t="shared" si="13"/>
        <v>0</v>
      </c>
    </row>
    <row r="398" spans="2:16" ht="16.5" customHeight="1" x14ac:dyDescent="0.45">
      <c r="B398" s="240" t="s">
        <v>794</v>
      </c>
      <c r="C398" s="252">
        <v>27397</v>
      </c>
      <c r="D398" s="257">
        <v>1</v>
      </c>
      <c r="E398" s="258">
        <v>44921</v>
      </c>
      <c r="F398" s="260">
        <v>5833333</v>
      </c>
      <c r="G398" s="260">
        <v>95890</v>
      </c>
      <c r="H398" s="260">
        <f t="shared" ref="H398:H399" si="14">IF(I398=3,G398+F398*M398,G398+F398)</f>
        <v>5929223</v>
      </c>
      <c r="I398" s="257">
        <v>4</v>
      </c>
      <c r="J398" s="252">
        <v>44921</v>
      </c>
      <c r="K398" s="262"/>
      <c r="L398" s="257"/>
      <c r="M398" s="257" t="s">
        <v>93</v>
      </c>
      <c r="N398" s="257">
        <v>0</v>
      </c>
      <c r="P398" s="242">
        <f t="shared" ref="P398" si="15">N398/366</f>
        <v>0</v>
      </c>
    </row>
    <row r="399" spans="2:16" ht="16.5" customHeight="1" x14ac:dyDescent="0.45">
      <c r="B399" s="240" t="s">
        <v>795</v>
      </c>
      <c r="C399" s="252">
        <v>31070</v>
      </c>
      <c r="D399" s="257">
        <v>1</v>
      </c>
      <c r="E399" s="258">
        <v>44921</v>
      </c>
      <c r="F399" s="260">
        <v>6625000</v>
      </c>
      <c r="G399" s="260">
        <v>108904</v>
      </c>
      <c r="H399" s="260">
        <f t="shared" si="14"/>
        <v>6733904</v>
      </c>
      <c r="I399" s="257">
        <v>1</v>
      </c>
      <c r="J399" s="252">
        <v>44921</v>
      </c>
      <c r="K399" s="262"/>
      <c r="L399" s="257"/>
    </row>
  </sheetData>
  <autoFilter ref="A1:S397" xr:uid="{00000000-0009-0000-0000-000003000000}"/>
  <phoneticPr fontId="3" type="noConversion"/>
  <pageMargins left="0.43307086614173229" right="0.27559055118110237" top="0.51181102362204722" bottom="0.74803149606299213" header="0.31496062992125984" footer="0.31496062992125984"/>
  <pageSetup paperSize="9" scale="51" fitToHeight="0" orientation="portrait" r:id="rId1"/>
  <headerFooter>
    <oddFooter>&amp;L&amp;G&amp;C&amp;A&amp;R&amp;P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39997558519241921"/>
  </sheetPr>
  <dimension ref="A1:P160"/>
  <sheetViews>
    <sheetView zoomScaleNormal="100" zoomScaleSheetLayoutView="70" workbookViewId="0">
      <pane xSplit="3" ySplit="1" topLeftCell="D7" activePane="bottomRight" state="frozen"/>
      <selection activeCell="I66" sqref="I66"/>
      <selection pane="topRight" activeCell="I66" sqref="I66"/>
      <selection pane="bottomLeft" activeCell="I66" sqref="I66"/>
      <selection pane="bottomRight" activeCell="B2" sqref="B2:B17"/>
    </sheetView>
  </sheetViews>
  <sheetFormatPr defaultColWidth="9" defaultRowHeight="15.75" customHeight="1" x14ac:dyDescent="0.45"/>
  <cols>
    <col min="1" max="1" width="34.58203125" style="248" customWidth="1"/>
    <col min="2" max="2" width="11.1640625" style="240" bestFit="1" customWidth="1"/>
    <col min="3" max="3" width="11.58203125" style="242" customWidth="1"/>
    <col min="4" max="4" width="11.1640625" style="242" customWidth="1"/>
    <col min="5" max="5" width="11.58203125" style="242" customWidth="1"/>
    <col min="6" max="6" width="12.9140625" style="242" customWidth="1"/>
    <col min="7" max="7" width="13.5" style="264" customWidth="1"/>
    <col min="8" max="8" width="13.58203125" style="242" customWidth="1"/>
    <col min="9" max="9" width="14.58203125" style="264" customWidth="1"/>
    <col min="10" max="10" width="9.58203125" style="242" customWidth="1"/>
    <col min="11" max="11" width="14.6640625" style="242" customWidth="1"/>
    <col min="12" max="16384" width="9" style="242"/>
  </cols>
  <sheetData>
    <row r="1" spans="1:11" s="268" customFormat="1" ht="46.5" customHeight="1" x14ac:dyDescent="0.45">
      <c r="A1" s="267" t="s">
        <v>335</v>
      </c>
      <c r="B1" s="233" t="s">
        <v>296</v>
      </c>
      <c r="C1" s="234" t="s">
        <v>336</v>
      </c>
      <c r="D1" s="234" t="s">
        <v>337</v>
      </c>
      <c r="E1" s="234" t="s">
        <v>302</v>
      </c>
      <c r="F1" s="234" t="s">
        <v>361</v>
      </c>
      <c r="G1" s="234" t="s">
        <v>362</v>
      </c>
      <c r="H1" s="234" t="s">
        <v>340</v>
      </c>
      <c r="I1" s="234" t="s">
        <v>363</v>
      </c>
      <c r="J1" s="234" t="s">
        <v>364</v>
      </c>
    </row>
    <row r="2" spans="1:11" ht="16.5" customHeight="1" x14ac:dyDescent="0.45">
      <c r="A2" s="239" t="s">
        <v>344</v>
      </c>
      <c r="B2" s="240" t="s">
        <v>1248</v>
      </c>
      <c r="C2" s="241">
        <v>24685</v>
      </c>
      <c r="D2" s="242">
        <v>1</v>
      </c>
      <c r="E2" s="241">
        <v>37803</v>
      </c>
      <c r="F2" s="241">
        <v>44834</v>
      </c>
      <c r="G2" s="264">
        <v>165385618</v>
      </c>
      <c r="H2" s="242">
        <v>1</v>
      </c>
      <c r="I2" s="242">
        <v>1</v>
      </c>
      <c r="J2" s="241"/>
      <c r="K2" s="246"/>
    </row>
    <row r="3" spans="1:11" ht="16.5" customHeight="1" x14ac:dyDescent="0.45">
      <c r="A3" s="248" t="s">
        <v>365</v>
      </c>
      <c r="B3" s="240" t="s">
        <v>1249</v>
      </c>
      <c r="C3" s="241">
        <v>23757</v>
      </c>
      <c r="D3" s="242">
        <v>1</v>
      </c>
      <c r="E3" s="256">
        <v>43801</v>
      </c>
      <c r="F3" s="241">
        <v>44834</v>
      </c>
      <c r="G3" s="264">
        <v>31354996</v>
      </c>
      <c r="H3" s="242">
        <v>4</v>
      </c>
      <c r="I3" s="242">
        <v>1</v>
      </c>
      <c r="J3" s="241"/>
      <c r="K3" s="246"/>
    </row>
    <row r="4" spans="1:11" ht="16.5" customHeight="1" x14ac:dyDescent="0.45">
      <c r="A4" s="248" t="s">
        <v>366</v>
      </c>
      <c r="B4" s="240" t="s">
        <v>1251</v>
      </c>
      <c r="C4" s="241">
        <v>29587</v>
      </c>
      <c r="D4" s="242">
        <v>1</v>
      </c>
      <c r="E4" s="256">
        <v>44378</v>
      </c>
      <c r="F4" s="241">
        <v>44834</v>
      </c>
      <c r="G4" s="260">
        <v>8737780</v>
      </c>
      <c r="H4" s="242">
        <v>4</v>
      </c>
      <c r="I4" s="242">
        <v>1</v>
      </c>
      <c r="J4" s="241"/>
      <c r="K4" s="269" t="s">
        <v>392</v>
      </c>
    </row>
    <row r="5" spans="1:11" ht="16.5" customHeight="1" x14ac:dyDescent="0.45">
      <c r="A5" s="248" t="s">
        <v>367</v>
      </c>
      <c r="B5" s="240" t="s">
        <v>1252</v>
      </c>
      <c r="C5" s="241">
        <v>26568</v>
      </c>
      <c r="D5" s="242">
        <v>1</v>
      </c>
      <c r="E5" s="256">
        <v>44396</v>
      </c>
      <c r="F5" s="241">
        <v>44838</v>
      </c>
      <c r="G5" s="264">
        <v>9525000</v>
      </c>
      <c r="H5" s="242">
        <v>4</v>
      </c>
      <c r="I5" s="242">
        <v>1</v>
      </c>
      <c r="J5" s="241"/>
      <c r="K5" s="246"/>
    </row>
    <row r="6" spans="1:11" ht="16.5" customHeight="1" x14ac:dyDescent="0.45">
      <c r="B6" s="240" t="s">
        <v>1253</v>
      </c>
      <c r="C6" s="241">
        <v>30742</v>
      </c>
      <c r="D6" s="242">
        <v>2</v>
      </c>
      <c r="E6" s="256">
        <v>44508</v>
      </c>
      <c r="F6" s="241">
        <v>44848</v>
      </c>
      <c r="G6" s="264">
        <v>0</v>
      </c>
      <c r="H6" s="242">
        <v>1</v>
      </c>
      <c r="I6" s="242">
        <v>1</v>
      </c>
      <c r="J6" s="241"/>
      <c r="K6" s="246"/>
    </row>
    <row r="7" spans="1:11" ht="16.5" customHeight="1" x14ac:dyDescent="0.45">
      <c r="B7" s="240" t="s">
        <v>1254</v>
      </c>
      <c r="C7" s="241">
        <v>29841</v>
      </c>
      <c r="D7" s="242">
        <v>1</v>
      </c>
      <c r="E7" s="256">
        <v>44743</v>
      </c>
      <c r="F7" s="241">
        <v>44851</v>
      </c>
      <c r="G7" s="264">
        <v>0</v>
      </c>
      <c r="H7" s="242">
        <v>1</v>
      </c>
      <c r="I7" s="242">
        <v>1</v>
      </c>
      <c r="J7" s="241"/>
      <c r="K7" s="246"/>
    </row>
    <row r="8" spans="1:11" ht="16.5" customHeight="1" x14ac:dyDescent="0.45">
      <c r="B8" s="240" t="s">
        <v>1255</v>
      </c>
      <c r="C8" s="241">
        <v>32285</v>
      </c>
      <c r="D8" s="242">
        <v>2</v>
      </c>
      <c r="E8" s="256">
        <v>42877</v>
      </c>
      <c r="F8" s="241">
        <v>44866</v>
      </c>
      <c r="G8" s="264">
        <v>41042243</v>
      </c>
      <c r="H8" s="242">
        <v>1</v>
      </c>
      <c r="I8" s="242">
        <v>1</v>
      </c>
      <c r="J8" s="241"/>
      <c r="K8" s="246"/>
    </row>
    <row r="9" spans="1:11" ht="16.5" customHeight="1" x14ac:dyDescent="0.45">
      <c r="B9" s="240" t="s">
        <v>1256</v>
      </c>
      <c r="C9" s="241">
        <v>33268</v>
      </c>
      <c r="D9" s="242">
        <v>2</v>
      </c>
      <c r="E9" s="256">
        <v>43335</v>
      </c>
      <c r="F9" s="241">
        <v>44866</v>
      </c>
      <c r="G9" s="264">
        <v>13839118</v>
      </c>
      <c r="H9" s="242">
        <v>1</v>
      </c>
      <c r="I9" s="242">
        <v>1</v>
      </c>
      <c r="J9" s="241"/>
      <c r="K9" s="246"/>
    </row>
    <row r="10" spans="1:11" ht="16.5" customHeight="1" x14ac:dyDescent="0.45">
      <c r="B10" s="240" t="s">
        <v>1257</v>
      </c>
      <c r="C10" s="241">
        <v>32288</v>
      </c>
      <c r="D10" s="242">
        <v>2</v>
      </c>
      <c r="E10" s="256">
        <v>44179</v>
      </c>
      <c r="F10" s="241">
        <v>44866</v>
      </c>
      <c r="G10" s="264">
        <v>5586770</v>
      </c>
      <c r="H10" s="242">
        <v>4</v>
      </c>
      <c r="I10" s="242">
        <v>1</v>
      </c>
      <c r="J10" s="241"/>
      <c r="K10" s="246"/>
    </row>
    <row r="11" spans="1:11" ht="16.5" customHeight="1" x14ac:dyDescent="0.45">
      <c r="B11" s="240" t="s">
        <v>1258</v>
      </c>
      <c r="C11" s="241">
        <v>30293</v>
      </c>
      <c r="D11" s="242">
        <v>1</v>
      </c>
      <c r="E11" s="256">
        <v>43460</v>
      </c>
      <c r="F11" s="241">
        <v>44871</v>
      </c>
      <c r="G11" s="264">
        <v>24414417</v>
      </c>
      <c r="H11" s="242">
        <v>1</v>
      </c>
      <c r="I11" s="242">
        <v>1</v>
      </c>
      <c r="J11" s="241"/>
      <c r="K11" s="246"/>
    </row>
    <row r="12" spans="1:11" ht="16.5" customHeight="1" x14ac:dyDescent="0.45">
      <c r="B12" s="240" t="s">
        <v>1259</v>
      </c>
      <c r="C12" s="241">
        <v>26306</v>
      </c>
      <c r="D12" s="242">
        <v>1</v>
      </c>
      <c r="E12" s="256">
        <v>44312</v>
      </c>
      <c r="F12" s="241">
        <v>44874</v>
      </c>
      <c r="G12" s="264">
        <v>14434627</v>
      </c>
      <c r="H12" s="242">
        <v>1</v>
      </c>
      <c r="I12" s="242">
        <v>1</v>
      </c>
      <c r="J12" s="241"/>
      <c r="K12" s="246"/>
    </row>
    <row r="13" spans="1:11" ht="16.5" customHeight="1" x14ac:dyDescent="0.45">
      <c r="B13" s="240" t="s">
        <v>1260</v>
      </c>
      <c r="C13" s="241">
        <v>32864</v>
      </c>
      <c r="D13" s="242">
        <v>2</v>
      </c>
      <c r="E13" s="256">
        <v>44448</v>
      </c>
      <c r="F13" s="241">
        <v>44875</v>
      </c>
      <c r="G13" s="264">
        <v>5093062</v>
      </c>
      <c r="H13" s="242">
        <v>1</v>
      </c>
      <c r="I13" s="242">
        <v>1</v>
      </c>
      <c r="J13" s="241"/>
      <c r="K13" s="246"/>
    </row>
    <row r="14" spans="1:11" ht="16.5" customHeight="1" x14ac:dyDescent="0.45">
      <c r="B14" s="240" t="s">
        <v>1261</v>
      </c>
      <c r="C14" s="241">
        <v>29338</v>
      </c>
      <c r="D14" s="242">
        <v>1</v>
      </c>
      <c r="E14" s="256">
        <v>44382</v>
      </c>
      <c r="F14" s="241">
        <v>44876</v>
      </c>
      <c r="G14" s="264">
        <v>8575080</v>
      </c>
      <c r="H14" s="242">
        <v>1</v>
      </c>
      <c r="I14" s="242">
        <v>1</v>
      </c>
      <c r="J14" s="241"/>
      <c r="K14" s="246"/>
    </row>
    <row r="15" spans="1:11" ht="16.5" customHeight="1" x14ac:dyDescent="0.45">
      <c r="B15" s="240" t="s">
        <v>1262</v>
      </c>
      <c r="C15" s="241">
        <v>35789</v>
      </c>
      <c r="D15" s="242">
        <v>2</v>
      </c>
      <c r="E15" s="256">
        <v>44697</v>
      </c>
      <c r="F15" s="241">
        <v>44895</v>
      </c>
      <c r="G15" s="264">
        <v>0</v>
      </c>
      <c r="H15" s="242">
        <v>1</v>
      </c>
      <c r="I15" s="242">
        <v>1</v>
      </c>
      <c r="J15" s="241"/>
      <c r="K15" s="246"/>
    </row>
    <row r="16" spans="1:11" ht="16.5" customHeight="1" x14ac:dyDescent="0.45">
      <c r="B16" s="240" t="s">
        <v>1263</v>
      </c>
      <c r="C16" s="241">
        <v>26247</v>
      </c>
      <c r="D16" s="242">
        <v>1</v>
      </c>
      <c r="E16" s="256">
        <v>39077</v>
      </c>
      <c r="F16" s="241">
        <v>44895</v>
      </c>
      <c r="G16" s="264">
        <v>206697360</v>
      </c>
      <c r="H16" s="242">
        <v>1</v>
      </c>
      <c r="I16" s="242">
        <v>2</v>
      </c>
    </row>
    <row r="17" spans="2:16" ht="16.5" customHeight="1" x14ac:dyDescent="0.45">
      <c r="B17" s="240" t="s">
        <v>1250</v>
      </c>
      <c r="C17" s="241">
        <v>30538</v>
      </c>
      <c r="D17" s="242">
        <v>1</v>
      </c>
      <c r="E17" s="256">
        <v>43206</v>
      </c>
      <c r="F17" s="241">
        <v>44897</v>
      </c>
      <c r="G17" s="264">
        <v>31625538</v>
      </c>
      <c r="H17" s="242">
        <v>1</v>
      </c>
      <c r="I17" s="242">
        <v>1</v>
      </c>
      <c r="J17" s="241"/>
      <c r="K17" s="246"/>
    </row>
    <row r="18" spans="2:16" ht="16.5" customHeight="1" x14ac:dyDescent="0.45">
      <c r="B18" s="240" t="s">
        <v>796</v>
      </c>
      <c r="C18" s="241">
        <v>29723</v>
      </c>
      <c r="D18" s="242">
        <v>1</v>
      </c>
      <c r="E18" s="256">
        <v>44795</v>
      </c>
      <c r="F18" s="241">
        <v>44908</v>
      </c>
      <c r="G18" s="264">
        <v>0</v>
      </c>
      <c r="H18" s="242">
        <v>4</v>
      </c>
      <c r="I18" s="242">
        <v>1</v>
      </c>
      <c r="J18" s="241"/>
      <c r="K18" s="246"/>
    </row>
    <row r="19" spans="2:16" ht="16.5" customHeight="1" x14ac:dyDescent="0.45">
      <c r="B19" s="240" t="s">
        <v>798</v>
      </c>
      <c r="C19" s="241">
        <v>26882</v>
      </c>
      <c r="D19" s="242">
        <v>1</v>
      </c>
      <c r="E19" s="256">
        <v>44445</v>
      </c>
      <c r="F19" s="241">
        <v>44909</v>
      </c>
      <c r="G19" s="264">
        <v>10063230</v>
      </c>
      <c r="H19" s="242">
        <v>1</v>
      </c>
      <c r="I19" s="242">
        <v>1</v>
      </c>
      <c r="J19" s="241"/>
    </row>
    <row r="20" spans="2:16" ht="16.5" customHeight="1" x14ac:dyDescent="0.45">
      <c r="B20" s="240" t="s">
        <v>799</v>
      </c>
      <c r="C20" s="241">
        <v>34387</v>
      </c>
      <c r="D20" s="242">
        <v>1</v>
      </c>
      <c r="E20" s="256">
        <v>43866</v>
      </c>
      <c r="F20" s="241">
        <v>44926</v>
      </c>
      <c r="G20" s="260">
        <v>13507040</v>
      </c>
      <c r="H20" s="242">
        <v>1</v>
      </c>
      <c r="I20" s="242">
        <v>1</v>
      </c>
    </row>
    <row r="21" spans="2:16" ht="16.5" customHeight="1" x14ac:dyDescent="0.45">
      <c r="B21" s="240" t="s">
        <v>800</v>
      </c>
      <c r="C21" s="241">
        <v>34362</v>
      </c>
      <c r="D21" s="242">
        <v>2</v>
      </c>
      <c r="E21" s="256">
        <v>43866</v>
      </c>
      <c r="F21" s="241">
        <v>44926</v>
      </c>
      <c r="G21" s="260">
        <v>13507040</v>
      </c>
      <c r="H21" s="242">
        <v>1</v>
      </c>
      <c r="I21" s="242">
        <v>1</v>
      </c>
    </row>
    <row r="22" spans="2:16" ht="16.5" customHeight="1" x14ac:dyDescent="0.45">
      <c r="B22" s="240" t="s">
        <v>801</v>
      </c>
      <c r="C22" s="241">
        <v>24634</v>
      </c>
      <c r="D22" s="242">
        <v>1</v>
      </c>
      <c r="E22" s="241">
        <v>37803</v>
      </c>
      <c r="F22" s="241">
        <v>44926</v>
      </c>
      <c r="G22" s="260">
        <v>147597294</v>
      </c>
      <c r="H22" s="242">
        <v>1</v>
      </c>
      <c r="I22" s="242">
        <v>1</v>
      </c>
      <c r="K22" s="260">
        <v>147597294</v>
      </c>
      <c r="L22" s="276" t="s">
        <v>393</v>
      </c>
    </row>
    <row r="23" spans="2:16" ht="16.5" customHeight="1" x14ac:dyDescent="0.45">
      <c r="B23" s="240" t="s">
        <v>802</v>
      </c>
      <c r="C23" s="241">
        <v>23364</v>
      </c>
      <c r="D23" s="242">
        <v>1</v>
      </c>
      <c r="E23" s="256">
        <v>43388</v>
      </c>
      <c r="F23" s="241">
        <v>44926</v>
      </c>
      <c r="G23" s="260">
        <v>63223026</v>
      </c>
      <c r="H23" s="242">
        <v>4</v>
      </c>
      <c r="I23" s="242">
        <v>1</v>
      </c>
      <c r="K23" s="260">
        <v>63223026</v>
      </c>
      <c r="L23" s="276" t="s">
        <v>393</v>
      </c>
    </row>
    <row r="24" spans="2:16" ht="16.5" customHeight="1" x14ac:dyDescent="0.45">
      <c r="B24" s="240" t="s">
        <v>803</v>
      </c>
      <c r="C24" s="241">
        <v>29355</v>
      </c>
      <c r="D24" s="242">
        <v>2</v>
      </c>
      <c r="E24" s="256">
        <v>44851</v>
      </c>
      <c r="F24" s="241">
        <v>44926</v>
      </c>
      <c r="G24" s="264">
        <v>0</v>
      </c>
      <c r="H24" s="242">
        <v>1</v>
      </c>
      <c r="I24" s="242">
        <v>1</v>
      </c>
    </row>
    <row r="25" spans="2:16" ht="16.5" customHeight="1" x14ac:dyDescent="0.45">
      <c r="B25" s="240" t="s">
        <v>804</v>
      </c>
      <c r="C25" s="241">
        <v>35163</v>
      </c>
      <c r="D25" s="242">
        <v>1</v>
      </c>
      <c r="E25" s="256">
        <v>44767</v>
      </c>
      <c r="F25" s="241">
        <v>44926</v>
      </c>
      <c r="G25" s="264">
        <v>0</v>
      </c>
      <c r="H25" s="242">
        <v>1</v>
      </c>
      <c r="I25" s="242">
        <v>1</v>
      </c>
    </row>
    <row r="26" spans="2:16" ht="16.5" customHeight="1" x14ac:dyDescent="0.45">
      <c r="B26" s="240" t="s">
        <v>805</v>
      </c>
      <c r="C26" s="241">
        <v>32166</v>
      </c>
      <c r="D26" s="242">
        <v>2</v>
      </c>
      <c r="E26" s="256">
        <v>44622</v>
      </c>
      <c r="F26" s="241">
        <v>44926</v>
      </c>
      <c r="G26" s="264">
        <v>0</v>
      </c>
      <c r="H26" s="242">
        <v>4</v>
      </c>
      <c r="I26" s="242">
        <v>1</v>
      </c>
    </row>
    <row r="27" spans="2:16" ht="16.5" customHeight="1" x14ac:dyDescent="0.45">
      <c r="B27" s="240" t="s">
        <v>806</v>
      </c>
      <c r="C27" s="252">
        <v>27397</v>
      </c>
      <c r="D27" s="257">
        <v>1</v>
      </c>
      <c r="E27" s="258">
        <v>44921</v>
      </c>
      <c r="F27" s="260">
        <v>5833333</v>
      </c>
      <c r="G27" s="260">
        <v>95890</v>
      </c>
      <c r="H27" s="260">
        <f t="shared" ref="H27" si="0">IF(I27=3,G27+F27*M27,G27+F27)</f>
        <v>5929223</v>
      </c>
      <c r="I27" s="257">
        <v>4</v>
      </c>
      <c r="J27" s="252">
        <v>44921</v>
      </c>
      <c r="K27" s="262"/>
      <c r="L27" s="257"/>
      <c r="M27" s="257" t="s">
        <v>93</v>
      </c>
      <c r="N27" s="257">
        <v>0</v>
      </c>
      <c r="P27" s="242">
        <f t="shared" ref="P27" si="1">N27/366</f>
        <v>0</v>
      </c>
    </row>
    <row r="28" spans="2:16" ht="16.5" customHeight="1" x14ac:dyDescent="0.45"/>
    <row r="29" spans="2:16" ht="16.5" customHeight="1" x14ac:dyDescent="0.45"/>
    <row r="30" spans="2:16" ht="16.5" customHeight="1" x14ac:dyDescent="0.45"/>
    <row r="31" spans="2:16" ht="16.5" customHeight="1" x14ac:dyDescent="0.45"/>
    <row r="32" spans="2:16" ht="16.5" customHeight="1" x14ac:dyDescent="0.45"/>
    <row r="33" ht="16.5" customHeight="1" x14ac:dyDescent="0.45"/>
    <row r="34" ht="16.5" customHeight="1" x14ac:dyDescent="0.45"/>
    <row r="35" ht="16.5" customHeight="1" x14ac:dyDescent="0.45"/>
    <row r="36" ht="16.5" customHeight="1" x14ac:dyDescent="0.45"/>
    <row r="37" ht="16.5" customHeight="1" x14ac:dyDescent="0.45"/>
    <row r="38" ht="16.5" customHeight="1" x14ac:dyDescent="0.45"/>
    <row r="39" ht="16.5" customHeight="1" x14ac:dyDescent="0.45"/>
    <row r="40" ht="16.5" customHeight="1" x14ac:dyDescent="0.45"/>
    <row r="41" ht="16.5" customHeight="1" x14ac:dyDescent="0.45"/>
    <row r="42" ht="16.5" customHeight="1" x14ac:dyDescent="0.45"/>
    <row r="43" ht="16.5" customHeight="1" x14ac:dyDescent="0.45"/>
    <row r="44" ht="16.5" customHeight="1" x14ac:dyDescent="0.45"/>
    <row r="45" ht="16.5" customHeight="1" x14ac:dyDescent="0.45"/>
    <row r="46" ht="16.5" customHeight="1" x14ac:dyDescent="0.45"/>
    <row r="47" ht="16.5" customHeight="1" x14ac:dyDescent="0.45"/>
    <row r="48" ht="16.5" customHeight="1" x14ac:dyDescent="0.45"/>
    <row r="49" spans="1:11" ht="16.5" customHeight="1" x14ac:dyDescent="0.45"/>
    <row r="50" spans="1:11" ht="16.5" customHeight="1" x14ac:dyDescent="0.45"/>
    <row r="51" spans="1:11" ht="16.5" customHeight="1" x14ac:dyDescent="0.45"/>
    <row r="52" spans="1:11" ht="16.5" customHeight="1" x14ac:dyDescent="0.45"/>
    <row r="53" spans="1:11" ht="16.5" customHeight="1" x14ac:dyDescent="0.45"/>
    <row r="54" spans="1:11" ht="16.5" customHeight="1" x14ac:dyDescent="0.45"/>
    <row r="55" spans="1:11" ht="16.5" customHeight="1" x14ac:dyDescent="0.45"/>
    <row r="56" spans="1:11" ht="16.5" customHeight="1" x14ac:dyDescent="0.45"/>
    <row r="57" spans="1:11" ht="16.5" customHeight="1" x14ac:dyDescent="0.45"/>
    <row r="58" spans="1:11" ht="16.5" customHeight="1" x14ac:dyDescent="0.45"/>
    <row r="62" spans="1:11" s="257" customFormat="1" ht="16.5" customHeight="1" x14ac:dyDescent="0.45">
      <c r="A62" s="248"/>
      <c r="B62" s="240"/>
      <c r="C62" s="242"/>
      <c r="D62" s="242"/>
      <c r="E62" s="242"/>
      <c r="F62" s="242"/>
      <c r="G62" s="264"/>
      <c r="H62" s="242"/>
      <c r="I62" s="264"/>
      <c r="J62" s="242"/>
      <c r="K62" s="242"/>
    </row>
    <row r="63" spans="1:11" s="257" customFormat="1" ht="15.75" customHeight="1" x14ac:dyDescent="0.45">
      <c r="A63" s="248"/>
      <c r="B63" s="240"/>
      <c r="C63" s="242"/>
      <c r="D63" s="242"/>
      <c r="E63" s="242"/>
      <c r="F63" s="242"/>
      <c r="G63" s="264"/>
      <c r="H63" s="242"/>
      <c r="I63" s="264"/>
      <c r="J63" s="242"/>
      <c r="K63" s="242"/>
    </row>
    <row r="158" ht="16.5" customHeight="1" x14ac:dyDescent="0.45"/>
    <row r="159" ht="16.5" customHeight="1" x14ac:dyDescent="0.45"/>
    <row r="160" ht="16.5" customHeight="1" x14ac:dyDescent="0.45"/>
  </sheetData>
  <autoFilter ref="A1:K156" xr:uid="{00000000-0009-0000-0000-000004000000}"/>
  <phoneticPr fontId="3" type="noConversion"/>
  <pageMargins left="0.43307086614173229" right="0.27559055118110237" top="0.51181102362204722" bottom="0.74803149606299213" header="0.31496062992125984" footer="0.31496062992125984"/>
  <pageSetup paperSize="9" scale="57" fitToHeight="0" orientation="portrait" r:id="rId1"/>
  <headerFooter>
    <oddFooter>&amp;L&amp;G&amp;C&amp;A&amp;R&amp;P</oddFoot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</sheetPr>
  <dimension ref="A1:N443"/>
  <sheetViews>
    <sheetView zoomScale="130" zoomScaleNormal="130" zoomScaleSheetLayoutView="70" workbookViewId="0">
      <pane xSplit="2" ySplit="1" topLeftCell="E428" activePane="bottomRight" state="frozen"/>
      <selection activeCell="I66" sqref="I66"/>
      <selection pane="topRight" activeCell="I66" sqref="I66"/>
      <selection pane="bottomLeft" activeCell="I66" sqref="I66"/>
      <selection pane="bottomRight" activeCell="K435" sqref="K435"/>
    </sheetView>
  </sheetViews>
  <sheetFormatPr defaultColWidth="9" defaultRowHeight="16.5" customHeight="1" x14ac:dyDescent="0.45"/>
  <cols>
    <col min="1" max="1" width="34.58203125" style="248" customWidth="1"/>
    <col min="2" max="2" width="11.1640625" style="240" customWidth="1"/>
    <col min="3" max="3" width="11.58203125" style="242" customWidth="1"/>
    <col min="4" max="4" width="11.1640625" style="242" customWidth="1"/>
    <col min="5" max="5" width="11.58203125" style="264" customWidth="1"/>
    <col min="6" max="6" width="10.4140625" style="264" customWidth="1"/>
    <col min="7" max="7" width="12.58203125" style="264" customWidth="1"/>
    <col min="8" max="8" width="13.58203125" style="242" customWidth="1"/>
    <col min="9" max="9" width="11.58203125" style="242" customWidth="1"/>
    <col min="10" max="10" width="18.58203125" style="242" customWidth="1"/>
    <col min="11" max="11" width="11.58203125" style="242" customWidth="1"/>
    <col min="12" max="12" width="9" style="242"/>
    <col min="13" max="13" width="23" style="242" customWidth="1"/>
    <col min="14" max="16384" width="9" style="242"/>
  </cols>
  <sheetData>
    <row r="1" spans="1:14" s="238" customFormat="1" ht="46.5" customHeight="1" x14ac:dyDescent="0.45">
      <c r="A1" s="232" t="s">
        <v>335</v>
      </c>
      <c r="B1" s="233" t="s">
        <v>296</v>
      </c>
      <c r="C1" s="234" t="s">
        <v>336</v>
      </c>
      <c r="D1" s="234" t="s">
        <v>337</v>
      </c>
      <c r="E1" s="236" t="s">
        <v>302</v>
      </c>
      <c r="F1" s="236" t="s">
        <v>305</v>
      </c>
      <c r="G1" s="236" t="s">
        <v>368</v>
      </c>
      <c r="H1" s="234" t="s">
        <v>340</v>
      </c>
      <c r="I1" s="234" t="s">
        <v>313</v>
      </c>
      <c r="J1" s="234" t="s">
        <v>369</v>
      </c>
      <c r="K1" s="234" t="s">
        <v>370</v>
      </c>
      <c r="L1" s="234" t="s">
        <v>371</v>
      </c>
      <c r="N1" s="270" t="s">
        <v>372</v>
      </c>
    </row>
    <row r="2" spans="1:14" ht="16.5" customHeight="1" x14ac:dyDescent="0.45">
      <c r="A2" s="239" t="s">
        <v>344</v>
      </c>
      <c r="B2" s="240" t="s">
        <v>933</v>
      </c>
      <c r="C2" s="241">
        <v>30962</v>
      </c>
      <c r="D2" s="242">
        <v>1</v>
      </c>
      <c r="E2" s="241">
        <v>40637</v>
      </c>
      <c r="F2" s="243">
        <v>7736629.75</v>
      </c>
      <c r="H2" s="242">
        <v>1</v>
      </c>
      <c r="I2" s="245">
        <v>40637</v>
      </c>
      <c r="J2" s="242">
        <v>5</v>
      </c>
      <c r="K2" s="241"/>
      <c r="L2" s="242" t="s">
        <v>383</v>
      </c>
    </row>
    <row r="3" spans="1:14" ht="16.5" customHeight="1" x14ac:dyDescent="0.45">
      <c r="B3" s="240" t="s">
        <v>935</v>
      </c>
      <c r="C3" s="241">
        <v>26880</v>
      </c>
      <c r="D3" s="242">
        <v>1</v>
      </c>
      <c r="E3" s="256">
        <v>42062</v>
      </c>
      <c r="F3" s="264">
        <v>13533758.166666666</v>
      </c>
      <c r="H3" s="242">
        <v>1</v>
      </c>
      <c r="I3" s="245"/>
      <c r="J3" s="242">
        <v>5</v>
      </c>
      <c r="K3" s="241"/>
      <c r="L3" s="242" t="s">
        <v>386</v>
      </c>
      <c r="N3" s="242" t="s">
        <v>382</v>
      </c>
    </row>
    <row r="4" spans="1:14" ht="16.5" customHeight="1" x14ac:dyDescent="0.45">
      <c r="A4" s="248" t="s">
        <v>373</v>
      </c>
      <c r="B4" s="240" t="s">
        <v>807</v>
      </c>
      <c r="C4" s="241">
        <v>27044</v>
      </c>
      <c r="D4" s="242">
        <v>1</v>
      </c>
      <c r="E4" s="241">
        <v>39034</v>
      </c>
      <c r="F4" s="243">
        <v>12309757.25</v>
      </c>
      <c r="H4" s="242">
        <v>1</v>
      </c>
      <c r="I4" s="245">
        <v>40452</v>
      </c>
      <c r="J4" s="242">
        <v>5</v>
      </c>
      <c r="K4" s="241"/>
      <c r="L4" s="242" t="s">
        <v>383</v>
      </c>
    </row>
    <row r="5" spans="1:14" ht="16.5" customHeight="1" x14ac:dyDescent="0.45">
      <c r="A5" s="271" t="s">
        <v>374</v>
      </c>
      <c r="B5" s="240" t="s">
        <v>808</v>
      </c>
      <c r="C5" s="241">
        <v>29564</v>
      </c>
      <c r="D5" s="242">
        <v>1</v>
      </c>
      <c r="E5" s="241">
        <v>39574</v>
      </c>
      <c r="F5" s="243">
        <v>7345500.333333333</v>
      </c>
      <c r="H5" s="242">
        <v>1</v>
      </c>
      <c r="I5" s="245">
        <v>39574</v>
      </c>
      <c r="J5" s="242">
        <v>5</v>
      </c>
      <c r="K5" s="241"/>
      <c r="L5" s="242" t="s">
        <v>383</v>
      </c>
    </row>
    <row r="6" spans="1:14" ht="16.5" customHeight="1" x14ac:dyDescent="0.45">
      <c r="A6" s="254" t="s">
        <v>375</v>
      </c>
      <c r="B6" s="240" t="s">
        <v>809</v>
      </c>
      <c r="C6" s="241">
        <v>26828</v>
      </c>
      <c r="D6" s="242">
        <v>2</v>
      </c>
      <c r="E6" s="241">
        <v>37803</v>
      </c>
      <c r="F6" s="243">
        <v>6602487.666666667</v>
      </c>
      <c r="H6" s="242">
        <v>1</v>
      </c>
      <c r="I6" s="245">
        <v>40268</v>
      </c>
      <c r="J6" s="242">
        <v>5</v>
      </c>
      <c r="K6" s="241"/>
      <c r="L6" s="242" t="s">
        <v>384</v>
      </c>
    </row>
    <row r="7" spans="1:14" ht="16.5" customHeight="1" x14ac:dyDescent="0.45">
      <c r="A7" s="236" t="s">
        <v>302</v>
      </c>
      <c r="B7" s="240" t="s">
        <v>810</v>
      </c>
      <c r="C7" s="241">
        <v>26109</v>
      </c>
      <c r="D7" s="242">
        <v>2</v>
      </c>
      <c r="E7" s="241">
        <v>37803</v>
      </c>
      <c r="F7" s="243">
        <v>7833694.833333333</v>
      </c>
      <c r="H7" s="242">
        <v>1</v>
      </c>
      <c r="I7" s="245">
        <v>37803</v>
      </c>
      <c r="J7" s="242">
        <v>5</v>
      </c>
      <c r="K7" s="241"/>
      <c r="L7" s="242" t="s">
        <v>383</v>
      </c>
    </row>
    <row r="8" spans="1:14" ht="16.5" customHeight="1" x14ac:dyDescent="0.45">
      <c r="A8" s="248" t="s">
        <v>345</v>
      </c>
      <c r="B8" s="240" t="s">
        <v>811</v>
      </c>
      <c r="C8" s="241">
        <v>25911</v>
      </c>
      <c r="D8" s="242">
        <v>2</v>
      </c>
      <c r="E8" s="241">
        <v>37803</v>
      </c>
      <c r="F8" s="243">
        <v>6532637.666666667</v>
      </c>
      <c r="H8" s="242">
        <v>1</v>
      </c>
      <c r="I8" s="245">
        <v>39995</v>
      </c>
      <c r="J8" s="242">
        <v>5</v>
      </c>
      <c r="K8" s="241"/>
      <c r="L8" s="242" t="s">
        <v>384</v>
      </c>
    </row>
    <row r="9" spans="1:14" ht="16.5" customHeight="1" x14ac:dyDescent="0.45">
      <c r="B9" s="240" t="s">
        <v>812</v>
      </c>
      <c r="C9" s="241">
        <v>24766</v>
      </c>
      <c r="D9" s="242">
        <v>1</v>
      </c>
      <c r="E9" s="256">
        <v>37803</v>
      </c>
      <c r="F9" s="264">
        <v>7538496.916666667</v>
      </c>
      <c r="H9" s="242">
        <v>1</v>
      </c>
      <c r="I9" s="245"/>
      <c r="J9" s="242">
        <v>5</v>
      </c>
      <c r="K9" s="241"/>
      <c r="L9" s="242" t="s">
        <v>383</v>
      </c>
      <c r="N9" s="242" t="s">
        <v>382</v>
      </c>
    </row>
    <row r="10" spans="1:14" ht="16.5" customHeight="1" x14ac:dyDescent="0.45">
      <c r="A10" s="236" t="s">
        <v>305</v>
      </c>
      <c r="B10" s="240" t="s">
        <v>813</v>
      </c>
      <c r="C10" s="241">
        <v>27008</v>
      </c>
      <c r="D10" s="242">
        <v>2</v>
      </c>
      <c r="E10" s="241">
        <v>37803</v>
      </c>
      <c r="F10" s="243">
        <v>6334743</v>
      </c>
      <c r="H10" s="242">
        <v>1</v>
      </c>
      <c r="I10" s="245">
        <v>37803</v>
      </c>
      <c r="J10" s="242">
        <v>5</v>
      </c>
      <c r="K10" s="241"/>
      <c r="L10" s="242" t="s">
        <v>384</v>
      </c>
    </row>
    <row r="11" spans="1:14" ht="16.5" customHeight="1" x14ac:dyDescent="0.45">
      <c r="A11" s="248" t="s">
        <v>346</v>
      </c>
      <c r="B11" s="240" t="s">
        <v>814</v>
      </c>
      <c r="C11" s="241">
        <v>27132</v>
      </c>
      <c r="D11" s="242">
        <v>2</v>
      </c>
      <c r="E11" s="241">
        <v>37803</v>
      </c>
      <c r="F11" s="243">
        <v>6274895.083333333</v>
      </c>
      <c r="H11" s="242">
        <v>1</v>
      </c>
      <c r="I11" s="245">
        <v>37803</v>
      </c>
      <c r="J11" s="242">
        <v>5</v>
      </c>
      <c r="K11" s="241"/>
      <c r="L11" s="242" t="s">
        <v>384</v>
      </c>
    </row>
    <row r="12" spans="1:14" ht="16.5" customHeight="1" x14ac:dyDescent="0.45">
      <c r="A12" s="248" t="s">
        <v>376</v>
      </c>
      <c r="B12" s="240" t="s">
        <v>815</v>
      </c>
      <c r="C12" s="241">
        <v>26956</v>
      </c>
      <c r="D12" s="242">
        <v>2</v>
      </c>
      <c r="E12" s="241">
        <v>37803</v>
      </c>
      <c r="F12" s="243">
        <v>6561839.833333333</v>
      </c>
      <c r="H12" s="242">
        <v>1</v>
      </c>
      <c r="I12" s="245">
        <v>39995</v>
      </c>
      <c r="J12" s="242">
        <v>5</v>
      </c>
      <c r="K12" s="241"/>
      <c r="L12" s="242" t="s">
        <v>384</v>
      </c>
    </row>
    <row r="13" spans="1:14" ht="16.5" customHeight="1" x14ac:dyDescent="0.45">
      <c r="B13" s="240" t="s">
        <v>816</v>
      </c>
      <c r="C13" s="241">
        <v>24852</v>
      </c>
      <c r="D13" s="242">
        <v>1</v>
      </c>
      <c r="E13" s="256">
        <v>37803</v>
      </c>
      <c r="F13" s="264">
        <v>8171718.916666667</v>
      </c>
      <c r="H13" s="242">
        <v>1</v>
      </c>
      <c r="I13" s="245"/>
      <c r="J13" s="242">
        <v>5</v>
      </c>
      <c r="K13" s="241"/>
      <c r="L13" s="242" t="s">
        <v>383</v>
      </c>
      <c r="N13" s="242" t="s">
        <v>382</v>
      </c>
    </row>
    <row r="14" spans="1:14" ht="16.5" customHeight="1" x14ac:dyDescent="0.45">
      <c r="B14" s="240" t="s">
        <v>817</v>
      </c>
      <c r="C14" s="241">
        <v>24748</v>
      </c>
      <c r="D14" s="242">
        <v>1</v>
      </c>
      <c r="E14" s="256">
        <v>37803</v>
      </c>
      <c r="F14" s="264">
        <v>7943603.25</v>
      </c>
      <c r="H14" s="242">
        <v>1</v>
      </c>
      <c r="I14" s="245"/>
      <c r="J14" s="242">
        <v>5</v>
      </c>
      <c r="K14" s="241"/>
      <c r="L14" s="242" t="s">
        <v>383</v>
      </c>
      <c r="N14" s="242" t="s">
        <v>382</v>
      </c>
    </row>
    <row r="15" spans="1:14" ht="16.5" customHeight="1" x14ac:dyDescent="0.45">
      <c r="B15" s="240" t="s">
        <v>818</v>
      </c>
      <c r="C15" s="241">
        <v>24341</v>
      </c>
      <c r="D15" s="242">
        <v>1</v>
      </c>
      <c r="E15" s="256">
        <v>37803</v>
      </c>
      <c r="F15" s="264">
        <v>11152499</v>
      </c>
      <c r="H15" s="242">
        <v>1</v>
      </c>
      <c r="I15" s="245"/>
      <c r="J15" s="242">
        <v>5</v>
      </c>
      <c r="K15" s="241"/>
      <c r="L15" s="242" t="s">
        <v>388</v>
      </c>
      <c r="N15" s="242" t="s">
        <v>382</v>
      </c>
    </row>
    <row r="16" spans="1:14" ht="16.5" customHeight="1" x14ac:dyDescent="0.45">
      <c r="A16" s="249" t="s">
        <v>307</v>
      </c>
      <c r="B16" s="240" t="s">
        <v>819</v>
      </c>
      <c r="C16" s="241">
        <v>26970</v>
      </c>
      <c r="D16" s="242">
        <v>2</v>
      </c>
      <c r="E16" s="241">
        <v>37803</v>
      </c>
      <c r="F16" s="243">
        <v>7045977.583333333</v>
      </c>
      <c r="H16" s="242">
        <v>1</v>
      </c>
      <c r="I16" s="245">
        <v>37803</v>
      </c>
      <c r="J16" s="242">
        <v>5</v>
      </c>
      <c r="K16" s="241"/>
      <c r="L16" s="242" t="s">
        <v>383</v>
      </c>
    </row>
    <row r="17" spans="1:14" ht="16.5" customHeight="1" x14ac:dyDescent="0.45">
      <c r="A17" s="248" t="s">
        <v>377</v>
      </c>
      <c r="B17" s="240" t="s">
        <v>820</v>
      </c>
      <c r="C17" s="241">
        <v>25734</v>
      </c>
      <c r="D17" s="242">
        <v>2</v>
      </c>
      <c r="E17" s="241">
        <v>37865</v>
      </c>
      <c r="F17" s="243">
        <v>8592587.416666666</v>
      </c>
      <c r="H17" s="242">
        <v>1</v>
      </c>
      <c r="I17" s="245">
        <v>37865</v>
      </c>
      <c r="J17" s="242">
        <v>5</v>
      </c>
      <c r="K17" s="241"/>
      <c r="L17" s="242" t="s">
        <v>385</v>
      </c>
    </row>
    <row r="18" spans="1:14" ht="16.5" customHeight="1" x14ac:dyDescent="0.45">
      <c r="A18" s="254" t="s">
        <v>348</v>
      </c>
      <c r="B18" s="240" t="s">
        <v>821</v>
      </c>
      <c r="C18" s="241">
        <v>25213</v>
      </c>
      <c r="D18" s="242">
        <v>2</v>
      </c>
      <c r="E18" s="241">
        <v>37803</v>
      </c>
      <c r="F18" s="243">
        <v>6793644.5</v>
      </c>
      <c r="H18" s="242">
        <v>1</v>
      </c>
      <c r="I18" s="245">
        <v>37803</v>
      </c>
      <c r="J18" s="242">
        <v>5</v>
      </c>
      <c r="K18" s="241"/>
      <c r="L18" s="242" t="s">
        <v>384</v>
      </c>
    </row>
    <row r="19" spans="1:14" ht="16.5" customHeight="1" x14ac:dyDescent="0.45">
      <c r="A19" s="234" t="s">
        <v>313</v>
      </c>
      <c r="B19" s="240" t="s">
        <v>822</v>
      </c>
      <c r="C19" s="241">
        <v>26343</v>
      </c>
      <c r="D19" s="242">
        <v>2</v>
      </c>
      <c r="E19" s="241">
        <v>37803</v>
      </c>
      <c r="F19" s="243">
        <v>6386893.75</v>
      </c>
      <c r="H19" s="242">
        <v>1</v>
      </c>
      <c r="I19" s="245">
        <v>39995</v>
      </c>
      <c r="J19" s="242">
        <v>5</v>
      </c>
      <c r="K19" s="241"/>
      <c r="L19" s="242" t="s">
        <v>384</v>
      </c>
    </row>
    <row r="20" spans="1:14" ht="16.5" customHeight="1" x14ac:dyDescent="0.45">
      <c r="B20" s="240" t="s">
        <v>823</v>
      </c>
      <c r="C20" s="241">
        <v>25365</v>
      </c>
      <c r="D20" s="242">
        <v>1</v>
      </c>
      <c r="E20" s="256">
        <v>37803</v>
      </c>
      <c r="F20" s="264">
        <v>7914821.416666667</v>
      </c>
      <c r="H20" s="242">
        <v>1</v>
      </c>
      <c r="I20" s="245"/>
      <c r="J20" s="242">
        <v>5</v>
      </c>
      <c r="K20" s="241"/>
      <c r="L20" s="242" t="s">
        <v>383</v>
      </c>
      <c r="N20" s="242" t="s">
        <v>382</v>
      </c>
    </row>
    <row r="21" spans="1:14" ht="16.5" customHeight="1" x14ac:dyDescent="0.45">
      <c r="B21" s="240" t="s">
        <v>824</v>
      </c>
      <c r="C21" s="241">
        <v>25292</v>
      </c>
      <c r="D21" s="242">
        <v>1</v>
      </c>
      <c r="E21" s="256">
        <v>37803</v>
      </c>
      <c r="F21" s="264">
        <v>7778194.75</v>
      </c>
      <c r="H21" s="242">
        <v>1</v>
      </c>
      <c r="I21" s="245"/>
      <c r="J21" s="242">
        <v>5</v>
      </c>
      <c r="K21" s="241"/>
      <c r="L21" s="242" t="s">
        <v>383</v>
      </c>
      <c r="N21" s="242" t="s">
        <v>382</v>
      </c>
    </row>
    <row r="22" spans="1:14" ht="16.5" customHeight="1" x14ac:dyDescent="0.45">
      <c r="B22" s="240" t="s">
        <v>825</v>
      </c>
      <c r="C22" s="241">
        <v>27592</v>
      </c>
      <c r="D22" s="242">
        <v>2</v>
      </c>
      <c r="E22" s="256">
        <v>37803</v>
      </c>
      <c r="F22" s="264">
        <v>6665050.75</v>
      </c>
      <c r="H22" s="242">
        <v>1</v>
      </c>
      <c r="I22" s="245"/>
      <c r="J22" s="242">
        <v>5</v>
      </c>
      <c r="K22" s="241"/>
      <c r="L22" s="242" t="s">
        <v>384</v>
      </c>
      <c r="N22" s="242" t="s">
        <v>382</v>
      </c>
    </row>
    <row r="23" spans="1:14" ht="16.5" customHeight="1" x14ac:dyDescent="0.45">
      <c r="A23" s="272" t="s">
        <v>350</v>
      </c>
      <c r="B23" s="240" t="s">
        <v>826</v>
      </c>
      <c r="C23" s="241">
        <v>27504</v>
      </c>
      <c r="D23" s="242">
        <v>2</v>
      </c>
      <c r="E23" s="241">
        <v>37803</v>
      </c>
      <c r="F23" s="243">
        <v>6785991.583333333</v>
      </c>
      <c r="H23" s="242">
        <v>1</v>
      </c>
      <c r="I23" s="245">
        <v>39995</v>
      </c>
      <c r="J23" s="242">
        <v>5</v>
      </c>
      <c r="K23" s="241"/>
      <c r="L23" s="242" t="s">
        <v>384</v>
      </c>
    </row>
    <row r="24" spans="1:14" ht="16.5" customHeight="1" x14ac:dyDescent="0.45">
      <c r="A24" s="248" t="s">
        <v>351</v>
      </c>
      <c r="B24" s="240" t="s">
        <v>827</v>
      </c>
      <c r="C24" s="241">
        <v>27775</v>
      </c>
      <c r="D24" s="242">
        <v>2</v>
      </c>
      <c r="E24" s="241">
        <v>37803</v>
      </c>
      <c r="F24" s="243">
        <v>6561880</v>
      </c>
      <c r="H24" s="242">
        <v>1</v>
      </c>
      <c r="I24" s="245">
        <v>37803</v>
      </c>
      <c r="J24" s="242">
        <v>5</v>
      </c>
      <c r="K24" s="241"/>
      <c r="L24" s="242" t="s">
        <v>384</v>
      </c>
    </row>
    <row r="25" spans="1:14" ht="16.5" customHeight="1" x14ac:dyDescent="0.45">
      <c r="B25" s="240" t="s">
        <v>828</v>
      </c>
      <c r="C25" s="241">
        <v>27747</v>
      </c>
      <c r="D25" s="242">
        <v>2</v>
      </c>
      <c r="E25" s="256">
        <v>37803</v>
      </c>
      <c r="F25" s="264">
        <v>7173571.25</v>
      </c>
      <c r="H25" s="242">
        <v>1</v>
      </c>
      <c r="I25" s="245"/>
      <c r="J25" s="242">
        <v>5</v>
      </c>
      <c r="K25" s="241"/>
      <c r="L25" s="242" t="s">
        <v>383</v>
      </c>
      <c r="N25" s="242" t="s">
        <v>382</v>
      </c>
    </row>
    <row r="26" spans="1:14" ht="16.5" customHeight="1" x14ac:dyDescent="0.45">
      <c r="B26" s="240" t="s">
        <v>829</v>
      </c>
      <c r="C26" s="241">
        <v>25571</v>
      </c>
      <c r="D26" s="242">
        <v>1</v>
      </c>
      <c r="E26" s="256">
        <v>37803</v>
      </c>
      <c r="F26" s="264">
        <v>7930676.916666667</v>
      </c>
      <c r="H26" s="242">
        <v>1</v>
      </c>
      <c r="I26" s="245"/>
      <c r="J26" s="242">
        <v>5</v>
      </c>
      <c r="K26" s="241"/>
      <c r="L26" s="242" t="s">
        <v>383</v>
      </c>
      <c r="N26" s="242" t="s">
        <v>382</v>
      </c>
    </row>
    <row r="27" spans="1:14" ht="16.5" customHeight="1" x14ac:dyDescent="0.45">
      <c r="B27" s="240" t="s">
        <v>830</v>
      </c>
      <c r="C27" s="241">
        <v>28158</v>
      </c>
      <c r="D27" s="242">
        <v>2</v>
      </c>
      <c r="E27" s="241">
        <v>37803</v>
      </c>
      <c r="F27" s="243">
        <v>6166967.916666667</v>
      </c>
      <c r="H27" s="242">
        <v>1</v>
      </c>
      <c r="I27" s="245">
        <v>39995</v>
      </c>
      <c r="J27" s="242">
        <v>5</v>
      </c>
      <c r="K27" s="241"/>
      <c r="L27" s="242" t="s">
        <v>384</v>
      </c>
    </row>
    <row r="28" spans="1:14" ht="16.5" customHeight="1" x14ac:dyDescent="0.45">
      <c r="B28" s="240" t="s">
        <v>831</v>
      </c>
      <c r="C28" s="241">
        <v>24938</v>
      </c>
      <c r="D28" s="242">
        <v>1</v>
      </c>
      <c r="E28" s="256">
        <v>37803</v>
      </c>
      <c r="F28" s="264">
        <v>8006557.333333333</v>
      </c>
      <c r="H28" s="242">
        <v>1</v>
      </c>
      <c r="I28" s="245"/>
      <c r="J28" s="242">
        <v>5</v>
      </c>
      <c r="K28" s="241"/>
      <c r="L28" s="242" t="s">
        <v>383</v>
      </c>
      <c r="N28" s="242" t="s">
        <v>382</v>
      </c>
    </row>
    <row r="29" spans="1:14" ht="16.5" customHeight="1" x14ac:dyDescent="0.45">
      <c r="B29" s="240" t="s">
        <v>832</v>
      </c>
      <c r="C29" s="241">
        <v>25834</v>
      </c>
      <c r="D29" s="242">
        <v>1</v>
      </c>
      <c r="E29" s="256">
        <v>37803</v>
      </c>
      <c r="F29" s="264">
        <v>8859316.416666666</v>
      </c>
      <c r="H29" s="242">
        <v>1</v>
      </c>
      <c r="I29" s="245"/>
      <c r="J29" s="242">
        <v>5</v>
      </c>
      <c r="K29" s="241"/>
      <c r="L29" s="242" t="s">
        <v>383</v>
      </c>
      <c r="N29" s="242" t="s">
        <v>382</v>
      </c>
    </row>
    <row r="30" spans="1:14" ht="16.5" customHeight="1" x14ac:dyDescent="0.45">
      <c r="B30" s="240" t="s">
        <v>833</v>
      </c>
      <c r="C30" s="241">
        <v>28176</v>
      </c>
      <c r="D30" s="242">
        <v>2</v>
      </c>
      <c r="E30" s="241">
        <v>37803</v>
      </c>
      <c r="F30" s="243">
        <v>10214152.333333334</v>
      </c>
      <c r="H30" s="242">
        <v>1</v>
      </c>
      <c r="I30" s="245">
        <v>37803</v>
      </c>
      <c r="J30" s="242">
        <v>5</v>
      </c>
      <c r="K30" s="241"/>
      <c r="L30" s="242" t="s">
        <v>383</v>
      </c>
    </row>
    <row r="31" spans="1:14" ht="16.5" customHeight="1" x14ac:dyDescent="0.45">
      <c r="B31" s="240" t="s">
        <v>834</v>
      </c>
      <c r="C31" s="241">
        <v>24877</v>
      </c>
      <c r="D31" s="242">
        <v>1</v>
      </c>
      <c r="E31" s="256">
        <v>37803</v>
      </c>
      <c r="F31" s="264">
        <v>12835223.583333334</v>
      </c>
      <c r="H31" s="242">
        <v>1</v>
      </c>
      <c r="I31" s="245"/>
      <c r="J31" s="242">
        <v>5</v>
      </c>
      <c r="K31" s="241"/>
      <c r="L31" s="242" t="s">
        <v>386</v>
      </c>
      <c r="N31" s="242" t="s">
        <v>382</v>
      </c>
    </row>
    <row r="32" spans="1:14" ht="16.5" customHeight="1" x14ac:dyDescent="0.45">
      <c r="B32" s="240" t="s">
        <v>835</v>
      </c>
      <c r="C32" s="241">
        <v>25554</v>
      </c>
      <c r="D32" s="242">
        <v>1</v>
      </c>
      <c r="E32" s="256">
        <v>37803</v>
      </c>
      <c r="F32" s="264">
        <v>8320970.75</v>
      </c>
      <c r="H32" s="242">
        <v>1</v>
      </c>
      <c r="I32" s="245"/>
      <c r="J32" s="242">
        <v>5</v>
      </c>
      <c r="K32" s="241"/>
      <c r="L32" s="242" t="s">
        <v>383</v>
      </c>
      <c r="N32" s="242" t="s">
        <v>382</v>
      </c>
    </row>
    <row r="33" spans="2:14" ht="16.5" customHeight="1" x14ac:dyDescent="0.45">
      <c r="B33" s="240" t="s">
        <v>836</v>
      </c>
      <c r="C33" s="241">
        <v>24835</v>
      </c>
      <c r="D33" s="242">
        <v>1</v>
      </c>
      <c r="E33" s="256">
        <v>37803</v>
      </c>
      <c r="F33" s="264">
        <v>8796689.666666666</v>
      </c>
      <c r="H33" s="242">
        <v>1</v>
      </c>
      <c r="I33" s="245"/>
      <c r="J33" s="242">
        <v>5</v>
      </c>
      <c r="K33" s="241"/>
      <c r="L33" s="242" t="s">
        <v>383</v>
      </c>
      <c r="N33" s="242" t="s">
        <v>382</v>
      </c>
    </row>
    <row r="34" spans="2:14" ht="16.5" customHeight="1" x14ac:dyDescent="0.45">
      <c r="B34" s="240" t="s">
        <v>837</v>
      </c>
      <c r="C34" s="241">
        <v>25304</v>
      </c>
      <c r="D34" s="242">
        <v>1</v>
      </c>
      <c r="E34" s="256">
        <v>37803</v>
      </c>
      <c r="F34" s="264">
        <v>7706941.916666667</v>
      </c>
      <c r="H34" s="242">
        <v>1</v>
      </c>
      <c r="I34" s="245"/>
      <c r="J34" s="242">
        <v>5</v>
      </c>
      <c r="K34" s="241"/>
      <c r="L34" s="242" t="s">
        <v>383</v>
      </c>
      <c r="N34" s="242" t="s">
        <v>382</v>
      </c>
    </row>
    <row r="35" spans="2:14" ht="16.5" customHeight="1" x14ac:dyDescent="0.45">
      <c r="B35" s="240" t="s">
        <v>838</v>
      </c>
      <c r="C35" s="241">
        <v>25294</v>
      </c>
      <c r="D35" s="242">
        <v>1</v>
      </c>
      <c r="E35" s="256">
        <v>37803</v>
      </c>
      <c r="F35" s="264">
        <v>8592963.333333334</v>
      </c>
      <c r="H35" s="242">
        <v>1</v>
      </c>
      <c r="I35" s="245"/>
      <c r="J35" s="242">
        <v>5</v>
      </c>
      <c r="K35" s="241"/>
      <c r="L35" s="242" t="s">
        <v>383</v>
      </c>
      <c r="N35" s="242" t="s">
        <v>382</v>
      </c>
    </row>
    <row r="36" spans="2:14" ht="16.5" customHeight="1" x14ac:dyDescent="0.45">
      <c r="B36" s="240" t="s">
        <v>839</v>
      </c>
      <c r="C36" s="241">
        <v>25207</v>
      </c>
      <c r="D36" s="242">
        <v>1</v>
      </c>
      <c r="E36" s="256">
        <v>37803</v>
      </c>
      <c r="F36" s="264">
        <v>8121482.166666667</v>
      </c>
      <c r="H36" s="242">
        <v>1</v>
      </c>
      <c r="I36" s="245"/>
      <c r="J36" s="242">
        <v>5</v>
      </c>
      <c r="K36" s="241"/>
      <c r="L36" s="242" t="s">
        <v>383</v>
      </c>
      <c r="N36" s="242" t="s">
        <v>382</v>
      </c>
    </row>
    <row r="37" spans="2:14" ht="16.5" customHeight="1" x14ac:dyDescent="0.45">
      <c r="B37" s="240" t="s">
        <v>840</v>
      </c>
      <c r="C37" s="241">
        <v>25114</v>
      </c>
      <c r="D37" s="242">
        <v>1</v>
      </c>
      <c r="E37" s="241">
        <v>37803</v>
      </c>
      <c r="F37" s="243">
        <v>10488479.833333334</v>
      </c>
      <c r="H37" s="242">
        <v>1</v>
      </c>
      <c r="I37" s="245">
        <v>39995</v>
      </c>
      <c r="J37" s="242">
        <v>5</v>
      </c>
      <c r="K37" s="241"/>
      <c r="L37" s="242" t="s">
        <v>383</v>
      </c>
    </row>
    <row r="38" spans="2:14" ht="16.5" customHeight="1" x14ac:dyDescent="0.45">
      <c r="B38" s="240" t="s">
        <v>841</v>
      </c>
      <c r="C38" s="241">
        <v>25030</v>
      </c>
      <c r="D38" s="242">
        <v>1</v>
      </c>
      <c r="E38" s="256">
        <v>37803</v>
      </c>
      <c r="F38" s="264">
        <v>7132440.333333333</v>
      </c>
      <c r="H38" s="242">
        <v>1</v>
      </c>
      <c r="I38" s="245"/>
      <c r="J38" s="242">
        <v>5</v>
      </c>
      <c r="K38" s="241"/>
      <c r="L38" s="242" t="s">
        <v>383</v>
      </c>
      <c r="N38" s="242" t="s">
        <v>382</v>
      </c>
    </row>
    <row r="39" spans="2:14" ht="16.5" customHeight="1" x14ac:dyDescent="0.45">
      <c r="B39" s="240" t="s">
        <v>842</v>
      </c>
      <c r="C39" s="241">
        <v>28358</v>
      </c>
      <c r="D39" s="242">
        <v>2</v>
      </c>
      <c r="E39" s="241">
        <v>37803</v>
      </c>
      <c r="F39" s="243">
        <v>7170772.083333333</v>
      </c>
      <c r="H39" s="242">
        <v>1</v>
      </c>
      <c r="I39" s="245">
        <v>37803</v>
      </c>
      <c r="J39" s="242">
        <v>5</v>
      </c>
      <c r="K39" s="241"/>
      <c r="L39" s="242" t="s">
        <v>383</v>
      </c>
    </row>
    <row r="40" spans="2:14" ht="16.5" customHeight="1" x14ac:dyDescent="0.45">
      <c r="B40" s="240" t="s">
        <v>843</v>
      </c>
      <c r="C40" s="241">
        <v>25378</v>
      </c>
      <c r="D40" s="242">
        <v>1</v>
      </c>
      <c r="E40" s="256">
        <v>37803</v>
      </c>
      <c r="F40" s="264">
        <v>8305324</v>
      </c>
      <c r="H40" s="242">
        <v>1</v>
      </c>
      <c r="I40" s="245"/>
      <c r="J40" s="242">
        <v>5</v>
      </c>
      <c r="K40" s="241"/>
      <c r="L40" s="242" t="s">
        <v>383</v>
      </c>
      <c r="N40" s="242" t="s">
        <v>382</v>
      </c>
    </row>
    <row r="41" spans="2:14" ht="16.5" customHeight="1" x14ac:dyDescent="0.45">
      <c r="B41" s="240" t="s">
        <v>844</v>
      </c>
      <c r="C41" s="241">
        <v>25842</v>
      </c>
      <c r="D41" s="242">
        <v>1</v>
      </c>
      <c r="E41" s="256">
        <v>37803</v>
      </c>
      <c r="F41" s="264">
        <v>8070402.833333333</v>
      </c>
      <c r="H41" s="242">
        <v>1</v>
      </c>
      <c r="I41" s="245"/>
      <c r="J41" s="242">
        <v>5</v>
      </c>
      <c r="K41" s="241"/>
      <c r="L41" s="242" t="s">
        <v>383</v>
      </c>
      <c r="N41" s="242" t="s">
        <v>382</v>
      </c>
    </row>
    <row r="42" spans="2:14" ht="16.5" customHeight="1" x14ac:dyDescent="0.45">
      <c r="B42" s="240" t="s">
        <v>845</v>
      </c>
      <c r="C42" s="241">
        <v>25687</v>
      </c>
      <c r="D42" s="242">
        <v>1</v>
      </c>
      <c r="E42" s="256">
        <v>37803</v>
      </c>
      <c r="F42" s="264">
        <v>10415500.916666666</v>
      </c>
      <c r="H42" s="242">
        <v>1</v>
      </c>
      <c r="I42" s="245"/>
      <c r="J42" s="242">
        <v>5</v>
      </c>
      <c r="K42" s="241"/>
      <c r="L42" s="242" t="s">
        <v>383</v>
      </c>
      <c r="N42" s="242" t="s">
        <v>382</v>
      </c>
    </row>
    <row r="43" spans="2:14" ht="16.5" customHeight="1" x14ac:dyDescent="0.45">
      <c r="B43" s="240" t="s">
        <v>846</v>
      </c>
      <c r="C43" s="241">
        <v>25182</v>
      </c>
      <c r="D43" s="242">
        <v>1</v>
      </c>
      <c r="E43" s="256">
        <v>37803</v>
      </c>
      <c r="F43" s="264">
        <v>8195293</v>
      </c>
      <c r="H43" s="242">
        <v>1</v>
      </c>
      <c r="I43" s="245"/>
      <c r="J43" s="242">
        <v>5</v>
      </c>
      <c r="K43" s="241"/>
      <c r="L43" s="242" t="s">
        <v>383</v>
      </c>
      <c r="N43" s="242" t="s">
        <v>382</v>
      </c>
    </row>
    <row r="44" spans="2:14" ht="16.5" customHeight="1" x14ac:dyDescent="0.45">
      <c r="B44" s="240" t="s">
        <v>847</v>
      </c>
      <c r="C44" s="241">
        <v>26283</v>
      </c>
      <c r="D44" s="242">
        <v>1</v>
      </c>
      <c r="E44" s="256">
        <v>37803</v>
      </c>
      <c r="F44" s="264">
        <v>8116563.083333333</v>
      </c>
      <c r="H44" s="242">
        <v>1</v>
      </c>
      <c r="I44" s="245"/>
      <c r="J44" s="242">
        <v>5</v>
      </c>
      <c r="K44" s="241"/>
      <c r="L44" s="242" t="s">
        <v>383</v>
      </c>
      <c r="N44" s="242" t="s">
        <v>382</v>
      </c>
    </row>
    <row r="45" spans="2:14" ht="16.5" customHeight="1" x14ac:dyDescent="0.45">
      <c r="B45" s="240" t="s">
        <v>848</v>
      </c>
      <c r="C45" s="241">
        <v>26607</v>
      </c>
      <c r="D45" s="242">
        <v>1</v>
      </c>
      <c r="E45" s="256">
        <v>37803</v>
      </c>
      <c r="F45" s="264">
        <v>10480326.833333334</v>
      </c>
      <c r="H45" s="242">
        <v>1</v>
      </c>
      <c r="I45" s="245"/>
      <c r="J45" s="242">
        <v>5</v>
      </c>
      <c r="K45" s="241"/>
      <c r="L45" s="242" t="s">
        <v>383</v>
      </c>
      <c r="N45" s="242" t="s">
        <v>382</v>
      </c>
    </row>
    <row r="46" spans="2:14" ht="16.5" customHeight="1" x14ac:dyDescent="0.45">
      <c r="B46" s="240" t="s">
        <v>849</v>
      </c>
      <c r="C46" s="241">
        <v>25601</v>
      </c>
      <c r="D46" s="242">
        <v>1</v>
      </c>
      <c r="E46" s="256">
        <v>37803</v>
      </c>
      <c r="F46" s="264">
        <v>8282490</v>
      </c>
      <c r="H46" s="242">
        <v>1</v>
      </c>
      <c r="I46" s="245"/>
      <c r="J46" s="242">
        <v>5</v>
      </c>
      <c r="K46" s="241"/>
      <c r="L46" s="242" t="s">
        <v>383</v>
      </c>
      <c r="N46" s="242" t="s">
        <v>382</v>
      </c>
    </row>
    <row r="47" spans="2:14" ht="16.5" customHeight="1" x14ac:dyDescent="0.45">
      <c r="B47" s="240" t="s">
        <v>850</v>
      </c>
      <c r="C47" s="241">
        <v>26833</v>
      </c>
      <c r="D47" s="242">
        <v>1</v>
      </c>
      <c r="E47" s="256">
        <v>37803</v>
      </c>
      <c r="F47" s="264">
        <v>8073624.25</v>
      </c>
      <c r="H47" s="242">
        <v>1</v>
      </c>
      <c r="I47" s="245"/>
      <c r="J47" s="242">
        <v>5</v>
      </c>
      <c r="K47" s="241"/>
      <c r="L47" s="242" t="s">
        <v>383</v>
      </c>
      <c r="N47" s="242" t="s">
        <v>382</v>
      </c>
    </row>
    <row r="48" spans="2:14" ht="16.5" customHeight="1" x14ac:dyDescent="0.45">
      <c r="B48" s="240" t="s">
        <v>851</v>
      </c>
      <c r="C48" s="241">
        <v>26038</v>
      </c>
      <c r="D48" s="242">
        <v>1</v>
      </c>
      <c r="E48" s="256">
        <v>37803</v>
      </c>
      <c r="F48" s="264">
        <v>10348199.416666666</v>
      </c>
      <c r="H48" s="242">
        <v>1</v>
      </c>
      <c r="I48" s="245"/>
      <c r="J48" s="242">
        <v>5</v>
      </c>
      <c r="K48" s="241"/>
      <c r="L48" s="242" t="s">
        <v>385</v>
      </c>
      <c r="N48" s="242" t="s">
        <v>382</v>
      </c>
    </row>
    <row r="49" spans="2:14" ht="16.5" customHeight="1" x14ac:dyDescent="0.45">
      <c r="B49" s="240" t="s">
        <v>852</v>
      </c>
      <c r="C49" s="241">
        <v>25844</v>
      </c>
      <c r="D49" s="242">
        <v>1</v>
      </c>
      <c r="E49" s="241">
        <v>37803</v>
      </c>
      <c r="F49" s="243">
        <v>10501142.083333334</v>
      </c>
      <c r="H49" s="242">
        <v>1</v>
      </c>
      <c r="I49" s="245">
        <v>39995</v>
      </c>
      <c r="J49" s="242">
        <v>5</v>
      </c>
      <c r="K49" s="241"/>
      <c r="L49" s="242" t="s">
        <v>383</v>
      </c>
    </row>
    <row r="50" spans="2:14" ht="16.5" customHeight="1" x14ac:dyDescent="0.45">
      <c r="B50" s="240" t="s">
        <v>853</v>
      </c>
      <c r="C50" s="241">
        <v>26709</v>
      </c>
      <c r="D50" s="242">
        <v>1</v>
      </c>
      <c r="E50" s="256">
        <v>37803</v>
      </c>
      <c r="F50" s="264">
        <v>8241339.333333333</v>
      </c>
      <c r="H50" s="242">
        <v>1</v>
      </c>
      <c r="I50" s="245"/>
      <c r="J50" s="242">
        <v>5</v>
      </c>
      <c r="K50" s="241"/>
      <c r="L50" s="242" t="s">
        <v>383</v>
      </c>
      <c r="N50" s="242" t="s">
        <v>382</v>
      </c>
    </row>
    <row r="51" spans="2:14" ht="16.5" customHeight="1" x14ac:dyDescent="0.45">
      <c r="B51" s="240" t="s">
        <v>854</v>
      </c>
      <c r="C51" s="241">
        <v>27607</v>
      </c>
      <c r="D51" s="242">
        <v>2</v>
      </c>
      <c r="E51" s="241">
        <v>37803</v>
      </c>
      <c r="F51" s="243">
        <v>6045081.666666667</v>
      </c>
      <c r="H51" s="242">
        <v>1</v>
      </c>
      <c r="I51" s="245">
        <v>37803</v>
      </c>
      <c r="J51" s="242">
        <v>5</v>
      </c>
      <c r="K51" s="241"/>
      <c r="L51" s="242" t="s">
        <v>384</v>
      </c>
    </row>
    <row r="52" spans="2:14" ht="16.5" customHeight="1" x14ac:dyDescent="0.45">
      <c r="B52" s="240" t="s">
        <v>855</v>
      </c>
      <c r="C52" s="241">
        <v>24602</v>
      </c>
      <c r="D52" s="242">
        <v>1</v>
      </c>
      <c r="E52" s="256">
        <v>37803</v>
      </c>
      <c r="F52" s="264">
        <v>10426665.166666666</v>
      </c>
      <c r="H52" s="242">
        <v>1</v>
      </c>
      <c r="I52" s="245"/>
      <c r="J52" s="242">
        <v>5</v>
      </c>
      <c r="K52" s="241"/>
      <c r="L52" s="242" t="s">
        <v>383</v>
      </c>
      <c r="N52" s="242" t="s">
        <v>382</v>
      </c>
    </row>
    <row r="53" spans="2:14" ht="16.5" customHeight="1" x14ac:dyDescent="0.45">
      <c r="B53" s="240" t="s">
        <v>856</v>
      </c>
      <c r="C53" s="241">
        <v>25607</v>
      </c>
      <c r="D53" s="242">
        <v>1</v>
      </c>
      <c r="E53" s="256">
        <v>37803</v>
      </c>
      <c r="F53" s="264">
        <v>8039957.666666667</v>
      </c>
      <c r="H53" s="242">
        <v>1</v>
      </c>
      <c r="I53" s="245"/>
      <c r="J53" s="242">
        <v>5</v>
      </c>
      <c r="K53" s="241"/>
      <c r="L53" s="242" t="s">
        <v>383</v>
      </c>
      <c r="N53" s="242" t="s">
        <v>382</v>
      </c>
    </row>
    <row r="54" spans="2:14" ht="16.5" customHeight="1" x14ac:dyDescent="0.45">
      <c r="B54" s="240" t="s">
        <v>857</v>
      </c>
      <c r="C54" s="241">
        <v>24730</v>
      </c>
      <c r="D54" s="242">
        <v>1</v>
      </c>
      <c r="E54" s="256">
        <v>37803</v>
      </c>
      <c r="F54" s="264">
        <v>8394740.833333334</v>
      </c>
      <c r="H54" s="242">
        <v>1</v>
      </c>
      <c r="I54" s="245"/>
      <c r="J54" s="242">
        <v>5</v>
      </c>
      <c r="K54" s="241"/>
      <c r="L54" s="242" t="s">
        <v>385</v>
      </c>
      <c r="N54" s="242" t="s">
        <v>382</v>
      </c>
    </row>
    <row r="55" spans="2:14" ht="16.5" customHeight="1" x14ac:dyDescent="0.45">
      <c r="B55" s="240" t="s">
        <v>858</v>
      </c>
      <c r="C55" s="241">
        <v>27654</v>
      </c>
      <c r="D55" s="242">
        <v>2</v>
      </c>
      <c r="E55" s="256">
        <v>37803</v>
      </c>
      <c r="F55" s="243">
        <v>7073588</v>
      </c>
      <c r="H55" s="242">
        <v>1</v>
      </c>
      <c r="I55" s="245">
        <v>39995</v>
      </c>
      <c r="J55" s="242">
        <v>5</v>
      </c>
      <c r="K55" s="241"/>
      <c r="L55" s="242" t="s">
        <v>383</v>
      </c>
    </row>
    <row r="56" spans="2:14" ht="16.5" customHeight="1" x14ac:dyDescent="0.45">
      <c r="B56" s="240" t="s">
        <v>859</v>
      </c>
      <c r="C56" s="241">
        <v>26314</v>
      </c>
      <c r="D56" s="242">
        <v>2</v>
      </c>
      <c r="E56" s="256">
        <v>37803</v>
      </c>
      <c r="F56" s="243">
        <v>6870782</v>
      </c>
      <c r="H56" s="242">
        <v>1</v>
      </c>
      <c r="I56" s="245">
        <v>37803</v>
      </c>
      <c r="J56" s="242">
        <v>5</v>
      </c>
      <c r="K56" s="241"/>
      <c r="L56" s="242" t="s">
        <v>384</v>
      </c>
    </row>
    <row r="57" spans="2:14" ht="16.5" customHeight="1" x14ac:dyDescent="0.45">
      <c r="B57" s="240" t="s">
        <v>860</v>
      </c>
      <c r="C57" s="241">
        <v>27065</v>
      </c>
      <c r="D57" s="242">
        <v>2</v>
      </c>
      <c r="E57" s="256">
        <v>37803</v>
      </c>
      <c r="F57" s="264">
        <v>7780086.666666667</v>
      </c>
      <c r="H57" s="242">
        <v>1</v>
      </c>
      <c r="I57" s="245"/>
      <c r="J57" s="242">
        <v>5</v>
      </c>
      <c r="K57" s="241"/>
      <c r="L57" s="242" t="s">
        <v>385</v>
      </c>
      <c r="N57" s="242" t="s">
        <v>382</v>
      </c>
    </row>
    <row r="58" spans="2:14" ht="16.5" customHeight="1" x14ac:dyDescent="0.45">
      <c r="B58" s="240" t="s">
        <v>861</v>
      </c>
      <c r="C58" s="241">
        <v>27542</v>
      </c>
      <c r="D58" s="242">
        <v>2</v>
      </c>
      <c r="E58" s="256">
        <v>37803</v>
      </c>
      <c r="F58" s="243">
        <v>9484587.666666666</v>
      </c>
      <c r="H58" s="242">
        <v>1</v>
      </c>
      <c r="I58" s="245">
        <v>39995</v>
      </c>
      <c r="J58" s="242">
        <v>5</v>
      </c>
      <c r="K58" s="241"/>
      <c r="L58" s="242" t="s">
        <v>383</v>
      </c>
    </row>
    <row r="59" spans="2:14" ht="16.5" customHeight="1" x14ac:dyDescent="0.45">
      <c r="B59" s="240" t="s">
        <v>862</v>
      </c>
      <c r="C59" s="241">
        <v>27619</v>
      </c>
      <c r="D59" s="242">
        <v>2</v>
      </c>
      <c r="E59" s="256">
        <v>37803</v>
      </c>
      <c r="F59" s="243">
        <v>7504276.666666667</v>
      </c>
      <c r="H59" s="242">
        <v>1</v>
      </c>
      <c r="I59" s="245">
        <v>39995</v>
      </c>
      <c r="J59" s="242">
        <v>5</v>
      </c>
      <c r="K59" s="241"/>
      <c r="L59" s="242" t="s">
        <v>383</v>
      </c>
    </row>
    <row r="60" spans="2:14" ht="16.5" customHeight="1" x14ac:dyDescent="0.45">
      <c r="B60" s="240" t="s">
        <v>863</v>
      </c>
      <c r="C60" s="241">
        <v>25249</v>
      </c>
      <c r="D60" s="242">
        <v>1</v>
      </c>
      <c r="E60" s="256">
        <v>37895</v>
      </c>
      <c r="F60" s="264">
        <v>8157089.666666667</v>
      </c>
      <c r="H60" s="242">
        <v>1</v>
      </c>
      <c r="I60" s="245"/>
      <c r="J60" s="242">
        <v>5</v>
      </c>
      <c r="K60" s="241"/>
      <c r="L60" s="242" t="s">
        <v>383</v>
      </c>
      <c r="N60" s="242" t="s">
        <v>382</v>
      </c>
    </row>
    <row r="61" spans="2:14" ht="16.5" customHeight="1" x14ac:dyDescent="0.45">
      <c r="B61" s="240" t="s">
        <v>864</v>
      </c>
      <c r="C61" s="241">
        <v>28656</v>
      </c>
      <c r="D61" s="242">
        <v>1</v>
      </c>
      <c r="E61" s="256">
        <v>37895</v>
      </c>
      <c r="F61" s="243">
        <v>9668023.166666666</v>
      </c>
      <c r="H61" s="242">
        <v>1</v>
      </c>
      <c r="I61" s="245">
        <v>39995</v>
      </c>
      <c r="J61" s="242">
        <v>5</v>
      </c>
      <c r="K61" s="241"/>
      <c r="L61" s="242" t="s">
        <v>383</v>
      </c>
    </row>
    <row r="62" spans="2:14" ht="16.5" customHeight="1" x14ac:dyDescent="0.45">
      <c r="B62" s="240" t="s">
        <v>865</v>
      </c>
      <c r="C62" s="241">
        <v>25373</v>
      </c>
      <c r="D62" s="242">
        <v>1</v>
      </c>
      <c r="E62" s="256">
        <v>37895</v>
      </c>
      <c r="F62" s="243">
        <v>16666670</v>
      </c>
      <c r="H62" s="242">
        <v>3</v>
      </c>
      <c r="I62" s="245">
        <v>44682</v>
      </c>
      <c r="J62" s="242">
        <v>5</v>
      </c>
      <c r="K62" s="241"/>
      <c r="L62" s="242" t="s">
        <v>386</v>
      </c>
    </row>
    <row r="63" spans="2:14" ht="16.5" customHeight="1" x14ac:dyDescent="0.45">
      <c r="B63" s="240" t="s">
        <v>866</v>
      </c>
      <c r="C63" s="241">
        <v>26858</v>
      </c>
      <c r="D63" s="242">
        <v>1</v>
      </c>
      <c r="E63" s="256">
        <v>38740</v>
      </c>
      <c r="F63" s="264">
        <v>7802397.5</v>
      </c>
      <c r="H63" s="242">
        <v>1</v>
      </c>
      <c r="I63" s="245"/>
      <c r="J63" s="242">
        <v>5</v>
      </c>
      <c r="K63" s="241"/>
      <c r="L63" s="242" t="s">
        <v>383</v>
      </c>
      <c r="N63" s="242" t="s">
        <v>382</v>
      </c>
    </row>
    <row r="64" spans="2:14" ht="16.5" customHeight="1" x14ac:dyDescent="0.45">
      <c r="B64" s="240" t="s">
        <v>867</v>
      </c>
      <c r="C64" s="241">
        <v>29169</v>
      </c>
      <c r="D64" s="242">
        <v>2</v>
      </c>
      <c r="E64" s="256">
        <v>38749</v>
      </c>
      <c r="F64" s="243">
        <v>9795410</v>
      </c>
      <c r="H64" s="242">
        <v>1</v>
      </c>
      <c r="I64" s="245">
        <v>38749</v>
      </c>
      <c r="J64" s="242">
        <v>5</v>
      </c>
      <c r="K64" s="241"/>
      <c r="L64" s="242" t="s">
        <v>383</v>
      </c>
    </row>
    <row r="65" spans="2:14" ht="16.5" customHeight="1" x14ac:dyDescent="0.45">
      <c r="B65" s="240" t="s">
        <v>868</v>
      </c>
      <c r="C65" s="241">
        <v>29124</v>
      </c>
      <c r="D65" s="242">
        <v>2</v>
      </c>
      <c r="E65" s="256">
        <v>38749</v>
      </c>
      <c r="F65" s="243">
        <v>9530202.916666666</v>
      </c>
      <c r="H65" s="242">
        <v>1</v>
      </c>
      <c r="I65" s="245">
        <v>38749</v>
      </c>
      <c r="J65" s="242">
        <v>5</v>
      </c>
      <c r="K65" s="241"/>
      <c r="L65" s="242" t="s">
        <v>383</v>
      </c>
    </row>
    <row r="66" spans="2:14" ht="16.5" customHeight="1" x14ac:dyDescent="0.45">
      <c r="B66" s="240" t="s">
        <v>869</v>
      </c>
      <c r="C66" s="241">
        <v>28571</v>
      </c>
      <c r="D66" s="242">
        <v>1</v>
      </c>
      <c r="E66" s="256">
        <v>38749</v>
      </c>
      <c r="F66" s="243">
        <v>7564061.75</v>
      </c>
      <c r="H66" s="242">
        <v>1</v>
      </c>
      <c r="I66" s="245">
        <v>38749</v>
      </c>
      <c r="J66" s="242">
        <v>5</v>
      </c>
      <c r="K66" s="241"/>
      <c r="L66" s="242" t="s">
        <v>383</v>
      </c>
    </row>
    <row r="67" spans="2:14" ht="16.5" customHeight="1" x14ac:dyDescent="0.45">
      <c r="B67" s="240" t="s">
        <v>870</v>
      </c>
      <c r="C67" s="241">
        <v>29277</v>
      </c>
      <c r="D67" s="242">
        <v>1</v>
      </c>
      <c r="E67" s="256">
        <v>39301</v>
      </c>
      <c r="F67" s="243">
        <v>7466518.5</v>
      </c>
      <c r="G67" s="264">
        <f>2178000+1592500</f>
        <v>3770500</v>
      </c>
      <c r="H67" s="242">
        <v>1</v>
      </c>
      <c r="I67" s="245">
        <v>39301</v>
      </c>
      <c r="J67" s="242">
        <v>5</v>
      </c>
      <c r="K67" s="241"/>
      <c r="L67" s="242" t="s">
        <v>383</v>
      </c>
      <c r="M67" s="242" t="s">
        <v>378</v>
      </c>
    </row>
    <row r="68" spans="2:14" ht="16.5" customHeight="1" x14ac:dyDescent="0.45">
      <c r="B68" s="240" t="s">
        <v>871</v>
      </c>
      <c r="C68" s="241">
        <v>30524</v>
      </c>
      <c r="D68" s="242">
        <v>2</v>
      </c>
      <c r="E68" s="256">
        <v>39295</v>
      </c>
      <c r="F68" s="264">
        <v>5025138</v>
      </c>
      <c r="G68" s="264">
        <f>1458440+1592500</f>
        <v>3050940</v>
      </c>
      <c r="H68" s="242">
        <v>1</v>
      </c>
      <c r="I68" s="245"/>
      <c r="J68" s="242">
        <v>5</v>
      </c>
      <c r="K68" s="241"/>
      <c r="L68" s="242" t="s">
        <v>384</v>
      </c>
      <c r="M68" s="242" t="s">
        <v>378</v>
      </c>
      <c r="N68" s="242" t="s">
        <v>382</v>
      </c>
    </row>
    <row r="69" spans="2:14" ht="16.5" customHeight="1" x14ac:dyDescent="0.45">
      <c r="B69" s="240" t="s">
        <v>872</v>
      </c>
      <c r="C69" s="241">
        <v>29487</v>
      </c>
      <c r="D69" s="242">
        <v>1</v>
      </c>
      <c r="E69" s="256">
        <v>39489</v>
      </c>
      <c r="F69" s="243">
        <v>8128924.416666667</v>
      </c>
      <c r="H69" s="242">
        <v>1</v>
      </c>
      <c r="I69" s="245">
        <v>39489</v>
      </c>
      <c r="J69" s="242">
        <v>5</v>
      </c>
      <c r="K69" s="241"/>
      <c r="L69" s="242" t="s">
        <v>383</v>
      </c>
    </row>
    <row r="70" spans="2:14" ht="16.5" customHeight="1" x14ac:dyDescent="0.45">
      <c r="B70" s="240" t="s">
        <v>873</v>
      </c>
      <c r="C70" s="241">
        <v>30077</v>
      </c>
      <c r="D70" s="242">
        <v>1</v>
      </c>
      <c r="E70" s="256">
        <v>39489</v>
      </c>
      <c r="F70" s="264">
        <v>8331913.333333333</v>
      </c>
      <c r="H70" s="242">
        <v>1</v>
      </c>
      <c r="I70" s="245"/>
      <c r="J70" s="242">
        <v>5</v>
      </c>
      <c r="K70" s="241"/>
      <c r="L70" s="242" t="s">
        <v>383</v>
      </c>
      <c r="N70" s="242" t="s">
        <v>382</v>
      </c>
    </row>
    <row r="71" spans="2:14" ht="16.5" customHeight="1" x14ac:dyDescent="0.45">
      <c r="B71" s="240" t="s">
        <v>874</v>
      </c>
      <c r="C71" s="241">
        <v>30082</v>
      </c>
      <c r="D71" s="242">
        <v>1</v>
      </c>
      <c r="E71" s="256">
        <v>39489</v>
      </c>
      <c r="F71" s="243">
        <v>7303345.333333333</v>
      </c>
      <c r="H71" s="242">
        <v>1</v>
      </c>
      <c r="I71" s="245">
        <v>39489</v>
      </c>
      <c r="J71" s="242">
        <v>5</v>
      </c>
      <c r="K71" s="241"/>
      <c r="L71" s="242" t="s">
        <v>383</v>
      </c>
    </row>
    <row r="72" spans="2:14" ht="16.5" customHeight="1" x14ac:dyDescent="0.45">
      <c r="B72" s="240" t="s">
        <v>875</v>
      </c>
      <c r="C72" s="241">
        <v>28801</v>
      </c>
      <c r="D72" s="242">
        <v>1</v>
      </c>
      <c r="E72" s="256">
        <v>39542</v>
      </c>
      <c r="F72" s="264">
        <v>5753045.166666667</v>
      </c>
      <c r="H72" s="242">
        <v>1</v>
      </c>
      <c r="I72" s="245"/>
      <c r="J72" s="242">
        <v>5</v>
      </c>
      <c r="K72" s="241"/>
      <c r="L72" s="242" t="s">
        <v>384</v>
      </c>
      <c r="N72" s="242" t="s">
        <v>382</v>
      </c>
    </row>
    <row r="73" spans="2:14" ht="16.5" customHeight="1" x14ac:dyDescent="0.45">
      <c r="B73" s="240" t="s">
        <v>876</v>
      </c>
      <c r="C73" s="241">
        <v>29657</v>
      </c>
      <c r="D73" s="242">
        <v>2</v>
      </c>
      <c r="E73" s="256">
        <v>39575</v>
      </c>
      <c r="F73" s="243">
        <v>4872108.583333333</v>
      </c>
      <c r="H73" s="242">
        <v>1</v>
      </c>
      <c r="I73" s="245">
        <v>39575</v>
      </c>
      <c r="J73" s="242">
        <v>5</v>
      </c>
      <c r="K73" s="241"/>
      <c r="L73" s="242" t="s">
        <v>384</v>
      </c>
    </row>
    <row r="74" spans="2:14" ht="16.5" customHeight="1" x14ac:dyDescent="0.45">
      <c r="B74" s="240" t="s">
        <v>877</v>
      </c>
      <c r="C74" s="241">
        <v>28203</v>
      </c>
      <c r="D74" s="242">
        <v>1</v>
      </c>
      <c r="E74" s="256">
        <v>39713</v>
      </c>
      <c r="F74" s="243">
        <v>9180632</v>
      </c>
      <c r="H74" s="242">
        <v>1</v>
      </c>
      <c r="I74" s="245">
        <v>39713</v>
      </c>
      <c r="J74" s="242">
        <v>5</v>
      </c>
      <c r="K74" s="241"/>
      <c r="L74" s="242" t="s">
        <v>383</v>
      </c>
    </row>
    <row r="75" spans="2:14" ht="16.5" customHeight="1" x14ac:dyDescent="0.45">
      <c r="B75" s="240" t="s">
        <v>878</v>
      </c>
      <c r="C75" s="241">
        <v>31452</v>
      </c>
      <c r="D75" s="242">
        <v>2</v>
      </c>
      <c r="E75" s="256">
        <v>39972</v>
      </c>
      <c r="F75" s="243">
        <v>4795939.75</v>
      </c>
      <c r="H75" s="242">
        <v>1</v>
      </c>
      <c r="I75" s="245">
        <v>39972</v>
      </c>
      <c r="J75" s="242">
        <v>5</v>
      </c>
      <c r="K75" s="241"/>
      <c r="L75" s="242" t="s">
        <v>384</v>
      </c>
    </row>
    <row r="76" spans="2:14" ht="16.5" customHeight="1" x14ac:dyDescent="0.45">
      <c r="B76" s="240" t="s">
        <v>879</v>
      </c>
      <c r="C76" s="241">
        <v>30831</v>
      </c>
      <c r="D76" s="242">
        <v>2</v>
      </c>
      <c r="E76" s="256">
        <v>40227</v>
      </c>
      <c r="F76" s="243">
        <v>3416324</v>
      </c>
      <c r="H76" s="242">
        <v>1</v>
      </c>
      <c r="I76" s="245">
        <v>40227</v>
      </c>
      <c r="J76" s="242">
        <v>5</v>
      </c>
      <c r="K76" s="241"/>
      <c r="L76" s="242" t="s">
        <v>384</v>
      </c>
    </row>
    <row r="77" spans="2:14" ht="16.5" customHeight="1" x14ac:dyDescent="0.45">
      <c r="B77" s="240" t="s">
        <v>880</v>
      </c>
      <c r="C77" s="241">
        <v>31743</v>
      </c>
      <c r="D77" s="242">
        <v>2</v>
      </c>
      <c r="E77" s="256">
        <v>40429</v>
      </c>
      <c r="F77" s="243">
        <v>7730944.333333333</v>
      </c>
      <c r="H77" s="242">
        <v>1</v>
      </c>
      <c r="I77" s="245">
        <v>40429</v>
      </c>
      <c r="J77" s="242">
        <v>5</v>
      </c>
      <c r="K77" s="241"/>
      <c r="L77" s="242" t="s">
        <v>383</v>
      </c>
    </row>
    <row r="78" spans="2:14" ht="16.5" customHeight="1" x14ac:dyDescent="0.45">
      <c r="B78" s="240" t="s">
        <v>881</v>
      </c>
      <c r="C78" s="241">
        <v>29809</v>
      </c>
      <c r="D78" s="242">
        <v>1</v>
      </c>
      <c r="E78" s="256">
        <v>40546</v>
      </c>
      <c r="F78" s="243">
        <v>8384847.25</v>
      </c>
      <c r="H78" s="242">
        <v>1</v>
      </c>
      <c r="I78" s="245">
        <v>40546</v>
      </c>
      <c r="J78" s="242">
        <v>5</v>
      </c>
      <c r="K78" s="241"/>
      <c r="L78" s="242" t="s">
        <v>383</v>
      </c>
    </row>
    <row r="79" spans="2:14" ht="16.5" customHeight="1" x14ac:dyDescent="0.45">
      <c r="B79" s="240" t="s">
        <v>882</v>
      </c>
      <c r="C79" s="241">
        <v>30513</v>
      </c>
      <c r="D79" s="242">
        <v>1</v>
      </c>
      <c r="E79" s="256">
        <v>40644</v>
      </c>
      <c r="F79" s="243">
        <v>6888194.416666667</v>
      </c>
      <c r="H79" s="242">
        <v>1</v>
      </c>
      <c r="I79" s="245">
        <v>40644</v>
      </c>
      <c r="J79" s="242">
        <v>5</v>
      </c>
      <c r="K79" s="241"/>
      <c r="L79" s="242" t="s">
        <v>383</v>
      </c>
    </row>
    <row r="80" spans="2:14" ht="16.5" customHeight="1" x14ac:dyDescent="0.45">
      <c r="B80" s="240" t="s">
        <v>883</v>
      </c>
      <c r="C80" s="241">
        <v>30398</v>
      </c>
      <c r="D80" s="242">
        <v>1</v>
      </c>
      <c r="E80" s="256">
        <v>40644</v>
      </c>
      <c r="F80" s="243">
        <v>6821583.166666667</v>
      </c>
      <c r="H80" s="242">
        <v>1</v>
      </c>
      <c r="I80" s="245">
        <v>40644</v>
      </c>
      <c r="J80" s="242">
        <v>5</v>
      </c>
      <c r="K80" s="241"/>
      <c r="L80" s="242" t="s">
        <v>383</v>
      </c>
    </row>
    <row r="81" spans="2:14" ht="16.5" customHeight="1" x14ac:dyDescent="0.45">
      <c r="B81" s="240" t="s">
        <v>884</v>
      </c>
      <c r="C81" s="241">
        <v>31194</v>
      </c>
      <c r="D81" s="242">
        <v>1</v>
      </c>
      <c r="E81" s="256">
        <v>40644</v>
      </c>
      <c r="F81" s="243">
        <v>6951337.333333333</v>
      </c>
      <c r="H81" s="242">
        <v>1</v>
      </c>
      <c r="I81" s="245">
        <v>40644</v>
      </c>
      <c r="J81" s="242">
        <v>5</v>
      </c>
      <c r="K81" s="241"/>
      <c r="L81" s="242" t="s">
        <v>383</v>
      </c>
    </row>
    <row r="82" spans="2:14" ht="16.5" customHeight="1" x14ac:dyDescent="0.45">
      <c r="B82" s="240" t="s">
        <v>885</v>
      </c>
      <c r="C82" s="241">
        <v>31740</v>
      </c>
      <c r="D82" s="242">
        <v>1</v>
      </c>
      <c r="E82" s="256">
        <v>40644</v>
      </c>
      <c r="F82" s="243">
        <v>6915877.25</v>
      </c>
      <c r="H82" s="242">
        <v>1</v>
      </c>
      <c r="I82" s="245">
        <v>40644</v>
      </c>
      <c r="J82" s="242">
        <v>5</v>
      </c>
      <c r="K82" s="241"/>
      <c r="L82" s="242" t="s">
        <v>383</v>
      </c>
    </row>
    <row r="83" spans="2:14" ht="16.5" customHeight="1" x14ac:dyDescent="0.45">
      <c r="B83" s="240" t="s">
        <v>886</v>
      </c>
      <c r="C83" s="241">
        <v>30550</v>
      </c>
      <c r="D83" s="242">
        <v>1</v>
      </c>
      <c r="E83" s="256">
        <v>40644</v>
      </c>
      <c r="F83" s="243">
        <v>7142410.333333333</v>
      </c>
      <c r="H83" s="242">
        <v>1</v>
      </c>
      <c r="I83" s="245">
        <v>40644</v>
      </c>
      <c r="J83" s="242">
        <v>5</v>
      </c>
      <c r="K83" s="241"/>
      <c r="L83" s="242" t="s">
        <v>385</v>
      </c>
    </row>
    <row r="84" spans="2:14" ht="16.5" customHeight="1" x14ac:dyDescent="0.45">
      <c r="B84" s="240" t="s">
        <v>887</v>
      </c>
      <c r="C84" s="241">
        <v>32296</v>
      </c>
      <c r="D84" s="242">
        <v>2</v>
      </c>
      <c r="E84" s="256">
        <v>40644</v>
      </c>
      <c r="F84" s="243">
        <v>6797097.416666667</v>
      </c>
      <c r="H84" s="242">
        <v>1</v>
      </c>
      <c r="I84" s="245">
        <v>40644</v>
      </c>
      <c r="J84" s="242">
        <v>5</v>
      </c>
      <c r="K84" s="241"/>
      <c r="L84" s="242" t="s">
        <v>383</v>
      </c>
    </row>
    <row r="85" spans="2:14" ht="16.5" customHeight="1" x14ac:dyDescent="0.45">
      <c r="B85" s="240" t="s">
        <v>888</v>
      </c>
      <c r="C85" s="241">
        <v>31502</v>
      </c>
      <c r="D85" s="242">
        <v>2</v>
      </c>
      <c r="E85" s="256">
        <v>40645</v>
      </c>
      <c r="F85" s="243">
        <v>5925141.75</v>
      </c>
      <c r="H85" s="242">
        <v>1</v>
      </c>
      <c r="I85" s="245">
        <v>40645</v>
      </c>
      <c r="J85" s="242">
        <v>5</v>
      </c>
      <c r="K85" s="241"/>
      <c r="L85" s="242" t="s">
        <v>383</v>
      </c>
    </row>
    <row r="86" spans="2:14" ht="16.5" customHeight="1" x14ac:dyDescent="0.45">
      <c r="B86" s="240" t="s">
        <v>889</v>
      </c>
      <c r="C86" s="241">
        <v>27192</v>
      </c>
      <c r="D86" s="242">
        <v>1</v>
      </c>
      <c r="E86" s="256">
        <v>40854</v>
      </c>
      <c r="F86" s="243">
        <v>8327326.666666667</v>
      </c>
      <c r="H86" s="242">
        <v>1</v>
      </c>
      <c r="I86" s="245">
        <v>40854</v>
      </c>
      <c r="J86" s="242">
        <v>5</v>
      </c>
      <c r="K86" s="241"/>
      <c r="L86" s="242" t="s">
        <v>383</v>
      </c>
    </row>
    <row r="87" spans="2:14" ht="16.5" customHeight="1" x14ac:dyDescent="0.45">
      <c r="B87" s="240" t="s">
        <v>890</v>
      </c>
      <c r="C87" s="241">
        <v>25725</v>
      </c>
      <c r="D87" s="242">
        <v>1</v>
      </c>
      <c r="E87" s="256">
        <v>40969</v>
      </c>
      <c r="F87" s="264">
        <v>14631176.5</v>
      </c>
      <c r="G87" s="264">
        <f>5182140+3185000</f>
        <v>8367140</v>
      </c>
      <c r="H87" s="242">
        <v>1</v>
      </c>
      <c r="I87" s="245"/>
      <c r="J87" s="242">
        <v>5</v>
      </c>
      <c r="K87" s="241"/>
      <c r="L87" s="242" t="s">
        <v>386</v>
      </c>
      <c r="M87" s="242" t="s">
        <v>379</v>
      </c>
      <c r="N87" s="242" t="s">
        <v>382</v>
      </c>
    </row>
    <row r="88" spans="2:14" ht="16.5" customHeight="1" x14ac:dyDescent="0.45">
      <c r="B88" s="240" t="s">
        <v>891</v>
      </c>
      <c r="C88" s="241">
        <v>24500</v>
      </c>
      <c r="D88" s="242">
        <v>1</v>
      </c>
      <c r="E88" s="256">
        <v>40970</v>
      </c>
      <c r="F88" s="264">
        <v>14595359.833333334</v>
      </c>
      <c r="H88" s="242">
        <v>1</v>
      </c>
      <c r="I88" s="245"/>
      <c r="J88" s="242">
        <v>5</v>
      </c>
      <c r="K88" s="241"/>
      <c r="L88" s="242" t="s">
        <v>386</v>
      </c>
      <c r="N88" s="242" t="s">
        <v>382</v>
      </c>
    </row>
    <row r="89" spans="2:14" ht="16.5" customHeight="1" x14ac:dyDescent="0.45">
      <c r="B89" s="240" t="s">
        <v>892</v>
      </c>
      <c r="C89" s="241">
        <v>27015</v>
      </c>
      <c r="D89" s="242">
        <v>1</v>
      </c>
      <c r="E89" s="256">
        <v>38719</v>
      </c>
      <c r="F89" s="243">
        <v>10226571.583333334</v>
      </c>
      <c r="H89" s="242">
        <v>1</v>
      </c>
      <c r="I89" s="245">
        <v>38719</v>
      </c>
      <c r="J89" s="242">
        <v>5</v>
      </c>
      <c r="K89" s="241"/>
      <c r="L89" s="242" t="s">
        <v>383</v>
      </c>
    </row>
    <row r="90" spans="2:14" ht="16.5" customHeight="1" x14ac:dyDescent="0.45">
      <c r="B90" s="240" t="s">
        <v>893</v>
      </c>
      <c r="C90" s="241">
        <v>27463</v>
      </c>
      <c r="D90" s="242">
        <v>1</v>
      </c>
      <c r="E90" s="256">
        <v>37342</v>
      </c>
      <c r="F90" s="243">
        <v>10409000.166666666</v>
      </c>
      <c r="G90" s="264">
        <f>3611700+3185000</f>
        <v>6796700</v>
      </c>
      <c r="H90" s="242">
        <v>1</v>
      </c>
      <c r="I90" s="245">
        <v>37342</v>
      </c>
      <c r="J90" s="242">
        <v>5</v>
      </c>
      <c r="K90" s="241"/>
      <c r="L90" s="242" t="s">
        <v>383</v>
      </c>
      <c r="M90" s="242" t="s">
        <v>379</v>
      </c>
    </row>
    <row r="91" spans="2:14" ht="16.5" customHeight="1" x14ac:dyDescent="0.45">
      <c r="B91" s="240" t="s">
        <v>894</v>
      </c>
      <c r="C91" s="241">
        <v>31775</v>
      </c>
      <c r="D91" s="242">
        <v>2</v>
      </c>
      <c r="E91" s="256">
        <v>41081</v>
      </c>
      <c r="F91" s="243">
        <v>3671758.6666666665</v>
      </c>
      <c r="G91" s="264">
        <f>630790+318500</f>
        <v>949290</v>
      </c>
      <c r="H91" s="242">
        <v>1</v>
      </c>
      <c r="I91" s="245">
        <v>41081</v>
      </c>
      <c r="J91" s="242">
        <v>5</v>
      </c>
      <c r="K91" s="241"/>
      <c r="L91" s="242" t="s">
        <v>384</v>
      </c>
      <c r="M91" s="242" t="s">
        <v>380</v>
      </c>
    </row>
    <row r="92" spans="2:14" ht="16.5" customHeight="1" x14ac:dyDescent="0.45">
      <c r="B92" s="240" t="s">
        <v>797</v>
      </c>
      <c r="C92" s="241">
        <v>32442</v>
      </c>
      <c r="D92" s="242">
        <v>2</v>
      </c>
      <c r="E92" s="256">
        <v>41092</v>
      </c>
      <c r="F92" s="243">
        <v>4658147.333333333</v>
      </c>
      <c r="G92" s="264">
        <f>812990+318500</f>
        <v>1131490</v>
      </c>
      <c r="H92" s="242">
        <v>1</v>
      </c>
      <c r="I92" s="245">
        <v>41092</v>
      </c>
      <c r="J92" s="242">
        <v>5</v>
      </c>
      <c r="K92" s="241"/>
      <c r="L92" s="242" t="s">
        <v>384</v>
      </c>
      <c r="M92" s="242" t="s">
        <v>380</v>
      </c>
    </row>
    <row r="93" spans="2:14" ht="16.5" customHeight="1" x14ac:dyDescent="0.45">
      <c r="B93" s="240" t="s">
        <v>895</v>
      </c>
      <c r="C93" s="241">
        <v>24660</v>
      </c>
      <c r="D93" s="242">
        <v>1</v>
      </c>
      <c r="E93" s="256">
        <v>37285</v>
      </c>
      <c r="F93" s="243">
        <v>23333340</v>
      </c>
      <c r="G93" s="264">
        <f>10383340+3185000</f>
        <v>13568340</v>
      </c>
      <c r="H93" s="242">
        <v>3</v>
      </c>
      <c r="I93" s="245">
        <v>43157</v>
      </c>
      <c r="J93" s="242">
        <v>5</v>
      </c>
      <c r="K93" s="241"/>
      <c r="L93" s="242" t="s">
        <v>386</v>
      </c>
      <c r="M93" s="242" t="s">
        <v>379</v>
      </c>
    </row>
    <row r="94" spans="2:14" ht="16.5" customHeight="1" x14ac:dyDescent="0.45">
      <c r="B94" s="240" t="s">
        <v>896</v>
      </c>
      <c r="C94" s="241">
        <v>24845</v>
      </c>
      <c r="D94" s="242">
        <v>1</v>
      </c>
      <c r="E94" s="256">
        <v>41141</v>
      </c>
      <c r="F94" s="243">
        <v>17083340</v>
      </c>
      <c r="G94" s="264">
        <f>3245840+318500</f>
        <v>3564340</v>
      </c>
      <c r="H94" s="242">
        <v>3</v>
      </c>
      <c r="I94" s="245">
        <v>44197</v>
      </c>
      <c r="J94" s="242">
        <v>5</v>
      </c>
      <c r="K94" s="241"/>
      <c r="L94" s="242" t="s">
        <v>387</v>
      </c>
      <c r="M94" s="242" t="s">
        <v>380</v>
      </c>
    </row>
    <row r="95" spans="2:14" ht="16.5" customHeight="1" x14ac:dyDescent="0.45">
      <c r="B95" s="240" t="s">
        <v>897</v>
      </c>
      <c r="C95" s="241">
        <v>26987</v>
      </c>
      <c r="D95" s="242">
        <v>1</v>
      </c>
      <c r="E95" s="256">
        <v>37242</v>
      </c>
      <c r="F95" s="243">
        <v>9140063.583333334</v>
      </c>
      <c r="G95" s="264">
        <v>3560160</v>
      </c>
      <c r="H95" s="242">
        <v>1</v>
      </c>
      <c r="I95" s="245">
        <v>40087</v>
      </c>
      <c r="J95" s="242">
        <v>5</v>
      </c>
      <c r="K95" s="241"/>
      <c r="L95" s="242" t="s">
        <v>383</v>
      </c>
      <c r="M95" s="242" t="s">
        <v>379</v>
      </c>
    </row>
    <row r="96" spans="2:14" ht="16.5" customHeight="1" x14ac:dyDescent="0.45">
      <c r="B96" s="240" t="s">
        <v>898</v>
      </c>
      <c r="C96" s="241">
        <v>26247</v>
      </c>
      <c r="D96" s="242">
        <v>1</v>
      </c>
      <c r="E96" s="256">
        <v>41162</v>
      </c>
      <c r="F96" s="264">
        <v>12918584.416666666</v>
      </c>
      <c r="G96" s="264">
        <v>3033160</v>
      </c>
      <c r="H96" s="242">
        <v>1</v>
      </c>
      <c r="I96" s="245"/>
      <c r="J96" s="242">
        <v>5</v>
      </c>
      <c r="K96" s="241"/>
      <c r="L96" s="242" t="s">
        <v>383</v>
      </c>
      <c r="M96" s="242" t="s">
        <v>378</v>
      </c>
      <c r="N96" s="242" t="s">
        <v>382</v>
      </c>
    </row>
    <row r="97" spans="2:14" ht="16.5" customHeight="1" x14ac:dyDescent="0.45">
      <c r="B97" s="240" t="s">
        <v>899</v>
      </c>
      <c r="C97" s="241">
        <v>32403</v>
      </c>
      <c r="D97" s="242">
        <v>2</v>
      </c>
      <c r="E97" s="256">
        <v>41177</v>
      </c>
      <c r="F97" s="243">
        <v>10625852.833333334</v>
      </c>
      <c r="G97" s="264">
        <f>615560+318500</f>
        <v>934060</v>
      </c>
      <c r="H97" s="242">
        <v>1</v>
      </c>
      <c r="I97" s="245">
        <v>41177</v>
      </c>
      <c r="J97" s="242">
        <v>5</v>
      </c>
      <c r="K97" s="241"/>
      <c r="L97" s="242" t="s">
        <v>384</v>
      </c>
      <c r="M97" s="242" t="s">
        <v>380</v>
      </c>
    </row>
    <row r="98" spans="2:14" ht="16.5" customHeight="1" x14ac:dyDescent="0.45">
      <c r="B98" s="240" t="s">
        <v>900</v>
      </c>
      <c r="C98" s="241">
        <v>31211</v>
      </c>
      <c r="D98" s="242">
        <v>2</v>
      </c>
      <c r="E98" s="256">
        <v>41239</v>
      </c>
      <c r="F98" s="243">
        <v>4614047.083333333</v>
      </c>
      <c r="G98" s="264">
        <f>811400+318500</f>
        <v>1129900</v>
      </c>
      <c r="H98" s="242">
        <v>1</v>
      </c>
      <c r="I98" s="245">
        <v>41239</v>
      </c>
      <c r="J98" s="242">
        <v>5</v>
      </c>
      <c r="K98" s="241"/>
      <c r="L98" s="242" t="s">
        <v>384</v>
      </c>
      <c r="M98" s="242" t="s">
        <v>380</v>
      </c>
    </row>
    <row r="99" spans="2:14" ht="16.5" customHeight="1" x14ac:dyDescent="0.45">
      <c r="B99" s="240" t="s">
        <v>901</v>
      </c>
      <c r="C99" s="241">
        <v>25927</v>
      </c>
      <c r="D99" s="242">
        <v>1</v>
      </c>
      <c r="E99" s="256">
        <v>37018</v>
      </c>
      <c r="F99" s="243">
        <v>9621557.75</v>
      </c>
      <c r="H99" s="242">
        <v>1</v>
      </c>
      <c r="I99" s="245">
        <v>41246</v>
      </c>
      <c r="J99" s="242">
        <v>5</v>
      </c>
      <c r="K99" s="241"/>
      <c r="L99" s="242" t="s">
        <v>383</v>
      </c>
    </row>
    <row r="100" spans="2:14" ht="16.5" customHeight="1" x14ac:dyDescent="0.45">
      <c r="B100" s="240" t="s">
        <v>902</v>
      </c>
      <c r="C100" s="241">
        <v>30327</v>
      </c>
      <c r="D100" s="242">
        <v>2</v>
      </c>
      <c r="E100" s="256">
        <v>41246</v>
      </c>
      <c r="F100" s="243">
        <v>3776978.3333333335</v>
      </c>
      <c r="G100" s="264">
        <v>318500</v>
      </c>
      <c r="H100" s="242">
        <v>1</v>
      </c>
      <c r="I100" s="245">
        <v>41246</v>
      </c>
      <c r="J100" s="242">
        <v>5</v>
      </c>
      <c r="K100" s="241"/>
      <c r="L100" s="242" t="s">
        <v>384</v>
      </c>
    </row>
    <row r="101" spans="2:14" ht="16.5" customHeight="1" x14ac:dyDescent="0.45">
      <c r="B101" s="240" t="s">
        <v>903</v>
      </c>
      <c r="C101" s="241">
        <v>27740</v>
      </c>
      <c r="D101" s="242">
        <v>2</v>
      </c>
      <c r="E101" s="256">
        <v>38261</v>
      </c>
      <c r="F101" s="243">
        <v>5146634.416666667</v>
      </c>
      <c r="H101" s="242">
        <v>1</v>
      </c>
      <c r="I101" s="245">
        <v>38261</v>
      </c>
      <c r="J101" s="242">
        <v>5</v>
      </c>
      <c r="K101" s="241"/>
      <c r="L101" s="242" t="s">
        <v>384</v>
      </c>
    </row>
    <row r="102" spans="2:14" ht="16.5" customHeight="1" x14ac:dyDescent="0.45">
      <c r="B102" s="240" t="s">
        <v>904</v>
      </c>
      <c r="C102" s="241">
        <v>30379</v>
      </c>
      <c r="D102" s="242">
        <v>2</v>
      </c>
      <c r="E102" s="256">
        <v>41277</v>
      </c>
      <c r="F102" s="243">
        <v>3092328</v>
      </c>
      <c r="H102" s="242">
        <v>1</v>
      </c>
      <c r="I102" s="245">
        <v>41277</v>
      </c>
      <c r="J102" s="242">
        <v>5</v>
      </c>
      <c r="K102" s="241"/>
      <c r="L102" s="242" t="s">
        <v>384</v>
      </c>
    </row>
    <row r="103" spans="2:14" ht="16.5" customHeight="1" x14ac:dyDescent="0.45">
      <c r="B103" s="240" t="s">
        <v>905</v>
      </c>
      <c r="C103" s="241">
        <v>28281</v>
      </c>
      <c r="D103" s="242">
        <v>1</v>
      </c>
      <c r="E103" s="256">
        <v>40854</v>
      </c>
      <c r="F103" s="243">
        <v>9984463.833333334</v>
      </c>
      <c r="H103" s="242">
        <v>1</v>
      </c>
      <c r="I103" s="245">
        <v>40854</v>
      </c>
      <c r="J103" s="242">
        <v>5</v>
      </c>
      <c r="K103" s="241"/>
      <c r="L103" s="242" t="s">
        <v>383</v>
      </c>
    </row>
    <row r="104" spans="2:14" ht="16.5" customHeight="1" x14ac:dyDescent="0.45">
      <c r="B104" s="240" t="s">
        <v>906</v>
      </c>
      <c r="C104" s="241">
        <v>27590</v>
      </c>
      <c r="D104" s="242">
        <v>1</v>
      </c>
      <c r="E104" s="256">
        <v>41323</v>
      </c>
      <c r="F104" s="243">
        <v>7240796.916666667</v>
      </c>
      <c r="H104" s="242">
        <v>1</v>
      </c>
      <c r="I104" s="245">
        <v>41323</v>
      </c>
      <c r="J104" s="242">
        <v>5</v>
      </c>
      <c r="K104" s="241"/>
      <c r="L104" s="242" t="s">
        <v>383</v>
      </c>
    </row>
    <row r="105" spans="2:14" ht="16.5" customHeight="1" x14ac:dyDescent="0.45">
      <c r="B105" s="240" t="s">
        <v>907</v>
      </c>
      <c r="C105" s="241">
        <v>31835</v>
      </c>
      <c r="D105" s="242">
        <v>2</v>
      </c>
      <c r="E105" s="256">
        <v>41330</v>
      </c>
      <c r="F105" s="243">
        <v>4624210.333333333</v>
      </c>
      <c r="H105" s="242">
        <v>1</v>
      </c>
      <c r="I105" s="245">
        <v>41330</v>
      </c>
      <c r="J105" s="242">
        <v>5</v>
      </c>
      <c r="K105" s="241"/>
      <c r="L105" s="242" t="s">
        <v>384</v>
      </c>
    </row>
    <row r="106" spans="2:14" ht="16.5" customHeight="1" x14ac:dyDescent="0.45">
      <c r="B106" s="240" t="s">
        <v>908</v>
      </c>
      <c r="C106" s="241">
        <v>32924</v>
      </c>
      <c r="D106" s="242">
        <v>2</v>
      </c>
      <c r="E106" s="256">
        <v>41277</v>
      </c>
      <c r="F106" s="243">
        <v>7873682.5</v>
      </c>
      <c r="H106" s="242">
        <v>1</v>
      </c>
      <c r="I106" s="245">
        <v>41277</v>
      </c>
      <c r="J106" s="242">
        <v>5</v>
      </c>
      <c r="K106" s="241"/>
      <c r="L106" s="242" t="s">
        <v>383</v>
      </c>
    </row>
    <row r="107" spans="2:14" ht="16.5" customHeight="1" x14ac:dyDescent="0.45">
      <c r="B107" s="240" t="s">
        <v>909</v>
      </c>
      <c r="C107" s="241">
        <v>29690</v>
      </c>
      <c r="D107" s="242">
        <v>2</v>
      </c>
      <c r="E107" s="256">
        <v>41346</v>
      </c>
      <c r="F107" s="243">
        <v>4552258</v>
      </c>
      <c r="H107" s="242">
        <v>1</v>
      </c>
      <c r="I107" s="245">
        <v>41346</v>
      </c>
      <c r="J107" s="242">
        <v>5</v>
      </c>
      <c r="K107" s="241"/>
      <c r="L107" s="242" t="s">
        <v>384</v>
      </c>
    </row>
    <row r="108" spans="2:14" ht="16.5" customHeight="1" x14ac:dyDescent="0.45">
      <c r="B108" s="240" t="s">
        <v>910</v>
      </c>
      <c r="C108" s="241">
        <v>27454</v>
      </c>
      <c r="D108" s="242">
        <v>1</v>
      </c>
      <c r="E108" s="256">
        <v>41379</v>
      </c>
      <c r="F108" s="243">
        <v>8855752.916666666</v>
      </c>
      <c r="H108" s="242">
        <v>1</v>
      </c>
      <c r="I108" s="245">
        <v>41379</v>
      </c>
      <c r="J108" s="242">
        <v>5</v>
      </c>
      <c r="K108" s="241"/>
      <c r="L108" s="242" t="s">
        <v>383</v>
      </c>
    </row>
    <row r="109" spans="2:14" ht="16.5" customHeight="1" x14ac:dyDescent="0.45">
      <c r="B109" s="240" t="s">
        <v>911</v>
      </c>
      <c r="C109" s="241">
        <v>29851</v>
      </c>
      <c r="D109" s="242">
        <v>1</v>
      </c>
      <c r="E109" s="256">
        <v>41393</v>
      </c>
      <c r="F109" s="264">
        <v>5849576.583333333</v>
      </c>
      <c r="H109" s="242">
        <v>1</v>
      </c>
      <c r="I109" s="245"/>
      <c r="J109" s="242">
        <v>5</v>
      </c>
      <c r="K109" s="241"/>
      <c r="L109" s="242" t="s">
        <v>384</v>
      </c>
      <c r="N109" s="242" t="s">
        <v>382</v>
      </c>
    </row>
    <row r="110" spans="2:14" ht="16.5" customHeight="1" x14ac:dyDescent="0.45">
      <c r="B110" s="240" t="s">
        <v>912</v>
      </c>
      <c r="C110" s="241">
        <v>32538</v>
      </c>
      <c r="D110" s="242">
        <v>2</v>
      </c>
      <c r="E110" s="256">
        <v>41415</v>
      </c>
      <c r="F110" s="243">
        <v>4696894.333333333</v>
      </c>
      <c r="H110" s="242">
        <v>1</v>
      </c>
      <c r="I110" s="245">
        <v>41415</v>
      </c>
      <c r="J110" s="242">
        <v>5</v>
      </c>
      <c r="K110" s="241"/>
      <c r="L110" s="242" t="s">
        <v>384</v>
      </c>
    </row>
    <row r="111" spans="2:14" ht="16.5" customHeight="1" x14ac:dyDescent="0.45">
      <c r="B111" s="240" t="s">
        <v>913</v>
      </c>
      <c r="C111" s="241">
        <v>30790</v>
      </c>
      <c r="D111" s="242">
        <v>1</v>
      </c>
      <c r="E111" s="256">
        <v>41438</v>
      </c>
      <c r="F111" s="243">
        <v>5855618.916666667</v>
      </c>
      <c r="H111" s="242">
        <v>1</v>
      </c>
      <c r="I111" s="245">
        <v>41438</v>
      </c>
      <c r="J111" s="242">
        <v>5</v>
      </c>
      <c r="K111" s="241"/>
      <c r="L111" s="242" t="s">
        <v>384</v>
      </c>
    </row>
    <row r="112" spans="2:14" ht="16.5" customHeight="1" x14ac:dyDescent="0.45">
      <c r="B112" s="240" t="s">
        <v>914</v>
      </c>
      <c r="C112" s="241">
        <v>26360</v>
      </c>
      <c r="D112" s="242">
        <v>1</v>
      </c>
      <c r="E112" s="256">
        <v>41487</v>
      </c>
      <c r="F112" s="243">
        <v>18681957.333333332</v>
      </c>
      <c r="H112" s="242">
        <v>1</v>
      </c>
      <c r="I112" s="245">
        <v>41487</v>
      </c>
      <c r="J112" s="242">
        <v>5</v>
      </c>
      <c r="K112" s="241"/>
      <c r="L112" s="242" t="s">
        <v>388</v>
      </c>
    </row>
    <row r="113" spans="1:13" ht="16.5" customHeight="1" x14ac:dyDescent="0.45">
      <c r="B113" s="240" t="s">
        <v>915</v>
      </c>
      <c r="C113" s="241">
        <v>31434</v>
      </c>
      <c r="D113" s="242">
        <v>2</v>
      </c>
      <c r="E113" s="256">
        <v>41487</v>
      </c>
      <c r="F113" s="243">
        <v>7863262.583333333</v>
      </c>
      <c r="H113" s="242">
        <v>1</v>
      </c>
      <c r="I113" s="245">
        <v>41487</v>
      </c>
      <c r="J113" s="242">
        <v>5</v>
      </c>
      <c r="K113" s="241"/>
      <c r="L113" s="242" t="s">
        <v>383</v>
      </c>
    </row>
    <row r="114" spans="1:13" ht="16.5" customHeight="1" x14ac:dyDescent="0.45">
      <c r="B114" s="240" t="s">
        <v>916</v>
      </c>
      <c r="C114" s="241">
        <v>32715</v>
      </c>
      <c r="D114" s="242">
        <v>2</v>
      </c>
      <c r="E114" s="256">
        <v>41491</v>
      </c>
      <c r="F114" s="243">
        <v>4739893.833333333</v>
      </c>
      <c r="H114" s="242">
        <v>1</v>
      </c>
      <c r="I114" s="245">
        <v>41491</v>
      </c>
      <c r="J114" s="242">
        <v>5</v>
      </c>
      <c r="K114" s="241"/>
      <c r="L114" s="242" t="s">
        <v>384</v>
      </c>
    </row>
    <row r="115" spans="1:13" ht="16.5" customHeight="1" x14ac:dyDescent="0.45">
      <c r="B115" s="240" t="s">
        <v>917</v>
      </c>
      <c r="C115" s="241">
        <v>32120</v>
      </c>
      <c r="D115" s="242">
        <v>2</v>
      </c>
      <c r="E115" s="256">
        <v>41491</v>
      </c>
      <c r="F115" s="243">
        <v>6977753</v>
      </c>
      <c r="H115" s="242">
        <v>1</v>
      </c>
      <c r="I115" s="245">
        <v>41491</v>
      </c>
      <c r="J115" s="242">
        <v>5</v>
      </c>
      <c r="K115" s="241"/>
      <c r="L115" s="242" t="s">
        <v>383</v>
      </c>
    </row>
    <row r="116" spans="1:13" ht="16.5" customHeight="1" x14ac:dyDescent="0.45">
      <c r="B116" s="240" t="s">
        <v>918</v>
      </c>
      <c r="C116" s="241">
        <v>31443</v>
      </c>
      <c r="D116" s="242">
        <v>2</v>
      </c>
      <c r="E116" s="256">
        <v>41549</v>
      </c>
      <c r="F116" s="243">
        <v>3120551</v>
      </c>
      <c r="H116" s="242">
        <v>1</v>
      </c>
      <c r="I116" s="245">
        <v>41549</v>
      </c>
      <c r="J116" s="242">
        <v>5</v>
      </c>
      <c r="K116" s="241"/>
      <c r="L116" s="242" t="s">
        <v>384</v>
      </c>
    </row>
    <row r="117" spans="1:13" ht="16.5" customHeight="1" x14ac:dyDescent="0.45">
      <c r="B117" s="240" t="s">
        <v>919</v>
      </c>
      <c r="C117" s="241">
        <v>31567</v>
      </c>
      <c r="D117" s="242">
        <v>2</v>
      </c>
      <c r="E117" s="256">
        <v>41549</v>
      </c>
      <c r="F117" s="243">
        <v>4620762.416666667</v>
      </c>
      <c r="H117" s="242">
        <v>1</v>
      </c>
      <c r="I117" s="245">
        <v>41549</v>
      </c>
      <c r="J117" s="242">
        <v>5</v>
      </c>
      <c r="K117" s="241"/>
      <c r="L117" s="242" t="s">
        <v>384</v>
      </c>
    </row>
    <row r="118" spans="1:13" ht="16.5" customHeight="1" x14ac:dyDescent="0.45">
      <c r="B118" s="240" t="s">
        <v>920</v>
      </c>
      <c r="C118" s="241">
        <v>31008</v>
      </c>
      <c r="D118" s="242">
        <v>1</v>
      </c>
      <c r="E118" s="256">
        <v>41576</v>
      </c>
      <c r="F118" s="243">
        <v>7911848.416666667</v>
      </c>
      <c r="H118" s="242">
        <v>1</v>
      </c>
      <c r="I118" s="245">
        <v>41576</v>
      </c>
      <c r="J118" s="242">
        <v>5</v>
      </c>
      <c r="K118" s="241"/>
      <c r="L118" s="242" t="s">
        <v>383</v>
      </c>
    </row>
    <row r="119" spans="1:13" ht="16.5" customHeight="1" x14ac:dyDescent="0.45">
      <c r="B119" s="240" t="s">
        <v>921</v>
      </c>
      <c r="C119" s="241">
        <v>30730</v>
      </c>
      <c r="D119" s="242">
        <v>2</v>
      </c>
      <c r="E119" s="256">
        <v>41579</v>
      </c>
      <c r="F119" s="243">
        <v>3173665.4166666665</v>
      </c>
      <c r="H119" s="242">
        <v>1</v>
      </c>
      <c r="I119" s="245">
        <v>41579</v>
      </c>
      <c r="J119" s="242">
        <v>5</v>
      </c>
      <c r="K119" s="241"/>
      <c r="L119" s="242" t="s">
        <v>384</v>
      </c>
    </row>
    <row r="120" spans="1:13" ht="16.5" customHeight="1" x14ac:dyDescent="0.45">
      <c r="B120" s="240" t="s">
        <v>922</v>
      </c>
      <c r="C120" s="241">
        <v>28320</v>
      </c>
      <c r="D120" s="242">
        <v>1</v>
      </c>
      <c r="E120" s="256">
        <v>41596</v>
      </c>
      <c r="F120" s="243">
        <v>9745450.25</v>
      </c>
      <c r="H120" s="242">
        <v>1</v>
      </c>
      <c r="I120" s="245">
        <v>41596</v>
      </c>
      <c r="J120" s="242">
        <v>5</v>
      </c>
      <c r="K120" s="241"/>
      <c r="L120" s="242" t="s">
        <v>383</v>
      </c>
    </row>
    <row r="121" spans="1:13" ht="16.5" customHeight="1" x14ac:dyDescent="0.45">
      <c r="B121" s="240" t="s">
        <v>923</v>
      </c>
      <c r="C121" s="241">
        <v>27965</v>
      </c>
      <c r="D121" s="242">
        <v>1</v>
      </c>
      <c r="E121" s="256">
        <v>41634</v>
      </c>
      <c r="F121" s="243">
        <v>7756981.25</v>
      </c>
      <c r="H121" s="242">
        <v>1</v>
      </c>
      <c r="I121" s="245">
        <v>41634</v>
      </c>
      <c r="J121" s="242">
        <v>5</v>
      </c>
      <c r="K121" s="241"/>
      <c r="L121" s="242" t="s">
        <v>385</v>
      </c>
    </row>
    <row r="122" spans="1:13" ht="16.5" customHeight="1" x14ac:dyDescent="0.45">
      <c r="B122" s="240" t="s">
        <v>924</v>
      </c>
      <c r="C122" s="241">
        <v>29995</v>
      </c>
      <c r="D122" s="242">
        <v>1</v>
      </c>
      <c r="E122" s="256">
        <v>41661</v>
      </c>
      <c r="F122" s="243">
        <v>7086607.333333333</v>
      </c>
      <c r="H122" s="242">
        <v>1</v>
      </c>
      <c r="I122" s="245">
        <v>41661</v>
      </c>
      <c r="J122" s="242">
        <v>5</v>
      </c>
      <c r="K122" s="241"/>
      <c r="L122" s="242" t="s">
        <v>383</v>
      </c>
    </row>
    <row r="123" spans="1:13" ht="16.5" customHeight="1" x14ac:dyDescent="0.45">
      <c r="A123" s="273"/>
      <c r="B123" s="240" t="s">
        <v>925</v>
      </c>
      <c r="C123" s="241">
        <v>27835</v>
      </c>
      <c r="D123" s="242">
        <v>1</v>
      </c>
      <c r="E123" s="256">
        <v>41661</v>
      </c>
      <c r="F123" s="264">
        <v>16666670</v>
      </c>
      <c r="G123" s="264">
        <v>4450000</v>
      </c>
      <c r="H123" s="242">
        <v>3</v>
      </c>
      <c r="I123" s="245">
        <v>44682</v>
      </c>
      <c r="J123" s="242">
        <v>5</v>
      </c>
      <c r="K123" s="241"/>
      <c r="L123" s="242" t="s">
        <v>386</v>
      </c>
      <c r="M123" s="242" t="s">
        <v>379</v>
      </c>
    </row>
    <row r="124" spans="1:13" ht="16.5" customHeight="1" x14ac:dyDescent="0.45">
      <c r="B124" s="240" t="s">
        <v>926</v>
      </c>
      <c r="C124" s="241">
        <v>31523</v>
      </c>
      <c r="D124" s="242">
        <v>2</v>
      </c>
      <c r="E124" s="256">
        <v>41702</v>
      </c>
      <c r="F124" s="243">
        <v>5599593</v>
      </c>
      <c r="H124" s="242">
        <v>1</v>
      </c>
      <c r="I124" s="245">
        <v>41702</v>
      </c>
      <c r="J124" s="242">
        <v>5</v>
      </c>
      <c r="K124" s="241"/>
      <c r="L124" s="242" t="s">
        <v>383</v>
      </c>
    </row>
    <row r="125" spans="1:13" ht="16.5" customHeight="1" x14ac:dyDescent="0.45">
      <c r="B125" s="240" t="s">
        <v>927</v>
      </c>
      <c r="C125" s="241">
        <v>32816</v>
      </c>
      <c r="D125" s="242">
        <v>2</v>
      </c>
      <c r="E125" s="256">
        <v>41645</v>
      </c>
      <c r="F125" s="243">
        <v>10014400.166666666</v>
      </c>
      <c r="H125" s="242">
        <v>1</v>
      </c>
      <c r="I125" s="245">
        <v>41645</v>
      </c>
      <c r="J125" s="242">
        <v>5</v>
      </c>
      <c r="K125" s="241"/>
      <c r="L125" s="242" t="s">
        <v>383</v>
      </c>
    </row>
    <row r="126" spans="1:13" ht="16.5" customHeight="1" x14ac:dyDescent="0.45">
      <c r="B126" s="240" t="s">
        <v>928</v>
      </c>
      <c r="C126" s="241">
        <v>32797</v>
      </c>
      <c r="D126" s="242">
        <v>2</v>
      </c>
      <c r="E126" s="256">
        <v>41645</v>
      </c>
      <c r="F126" s="243">
        <v>9475607.916666666</v>
      </c>
      <c r="H126" s="242">
        <v>1</v>
      </c>
      <c r="I126" s="245">
        <v>41645</v>
      </c>
      <c r="J126" s="242">
        <v>5</v>
      </c>
      <c r="K126" s="241"/>
      <c r="L126" s="242" t="s">
        <v>383</v>
      </c>
    </row>
    <row r="127" spans="1:13" ht="16.5" customHeight="1" x14ac:dyDescent="0.45">
      <c r="B127" s="240" t="s">
        <v>929</v>
      </c>
      <c r="C127" s="241">
        <v>31940</v>
      </c>
      <c r="D127" s="242">
        <v>1</v>
      </c>
      <c r="E127" s="256">
        <v>41645</v>
      </c>
      <c r="F127" s="243">
        <v>7879805.083333333</v>
      </c>
      <c r="H127" s="242">
        <v>1</v>
      </c>
      <c r="I127" s="245">
        <v>41645</v>
      </c>
      <c r="J127" s="242">
        <v>5</v>
      </c>
      <c r="K127" s="241"/>
      <c r="L127" s="242" t="s">
        <v>383</v>
      </c>
    </row>
    <row r="128" spans="1:13" ht="16.5" customHeight="1" x14ac:dyDescent="0.45">
      <c r="B128" s="240" t="s">
        <v>930</v>
      </c>
      <c r="C128" s="241">
        <v>27458</v>
      </c>
      <c r="D128" s="242">
        <v>1</v>
      </c>
      <c r="E128" s="256">
        <v>36703</v>
      </c>
      <c r="F128" s="243">
        <v>12931942.166666666</v>
      </c>
      <c r="H128" s="242">
        <v>1</v>
      </c>
      <c r="I128" s="245">
        <v>40210</v>
      </c>
      <c r="J128" s="242">
        <v>5</v>
      </c>
      <c r="K128" s="241"/>
      <c r="L128" s="242" t="s">
        <v>383</v>
      </c>
    </row>
    <row r="129" spans="2:14" ht="16.5" customHeight="1" x14ac:dyDescent="0.45">
      <c r="B129" s="240" t="s">
        <v>931</v>
      </c>
      <c r="C129" s="241">
        <v>28672</v>
      </c>
      <c r="D129" s="242">
        <v>2</v>
      </c>
      <c r="E129" s="256">
        <v>38889</v>
      </c>
      <c r="F129" s="243">
        <v>9790180.25</v>
      </c>
      <c r="H129" s="242">
        <v>1</v>
      </c>
      <c r="I129" s="245">
        <v>38889</v>
      </c>
      <c r="J129" s="242">
        <v>5</v>
      </c>
      <c r="K129" s="241"/>
      <c r="L129" s="242" t="s">
        <v>383</v>
      </c>
    </row>
    <row r="130" spans="2:14" ht="16.5" customHeight="1" x14ac:dyDescent="0.45">
      <c r="B130" s="240" t="s">
        <v>932</v>
      </c>
      <c r="C130" s="241">
        <v>30983</v>
      </c>
      <c r="D130" s="242">
        <v>2</v>
      </c>
      <c r="E130" s="256">
        <v>41878</v>
      </c>
      <c r="F130" s="243">
        <v>5196933.166666667</v>
      </c>
      <c r="H130" s="242">
        <v>1</v>
      </c>
      <c r="I130" s="245">
        <v>41878</v>
      </c>
      <c r="J130" s="242">
        <v>5</v>
      </c>
      <c r="K130" s="241"/>
      <c r="L130" s="242" t="s">
        <v>384</v>
      </c>
    </row>
    <row r="131" spans="2:14" ht="16.5" customHeight="1" x14ac:dyDescent="0.45">
      <c r="B131" s="240" t="s">
        <v>937</v>
      </c>
      <c r="C131" s="241">
        <v>26125</v>
      </c>
      <c r="D131" s="242">
        <v>1</v>
      </c>
      <c r="E131" s="256">
        <v>41942</v>
      </c>
      <c r="F131" s="264">
        <v>7550143.75</v>
      </c>
      <c r="H131" s="242">
        <v>1</v>
      </c>
      <c r="I131" s="245"/>
      <c r="J131" s="242">
        <v>5</v>
      </c>
      <c r="K131" s="241"/>
      <c r="L131" s="242" t="s">
        <v>385</v>
      </c>
      <c r="N131" s="242" t="s">
        <v>382</v>
      </c>
    </row>
    <row r="132" spans="2:14" ht="16.5" customHeight="1" x14ac:dyDescent="0.45">
      <c r="B132" s="240" t="s">
        <v>938</v>
      </c>
      <c r="C132" s="241">
        <v>26299</v>
      </c>
      <c r="D132" s="242">
        <v>1</v>
      </c>
      <c r="E132" s="256">
        <v>41974</v>
      </c>
      <c r="F132" s="243">
        <v>45333340</v>
      </c>
      <c r="H132" s="242">
        <v>3</v>
      </c>
      <c r="I132" s="245">
        <v>41974</v>
      </c>
      <c r="J132" s="242">
        <v>5</v>
      </c>
      <c r="K132" s="241"/>
      <c r="L132" s="242" t="s">
        <v>389</v>
      </c>
    </row>
    <row r="133" spans="2:14" ht="16.5" customHeight="1" x14ac:dyDescent="0.45">
      <c r="B133" s="240" t="s">
        <v>939</v>
      </c>
      <c r="C133" s="241">
        <v>28135</v>
      </c>
      <c r="D133" s="242">
        <v>1</v>
      </c>
      <c r="E133" s="256">
        <v>42003</v>
      </c>
      <c r="F133" s="243">
        <v>6497229.5</v>
      </c>
      <c r="H133" s="242">
        <v>1</v>
      </c>
      <c r="I133" s="245">
        <v>42003</v>
      </c>
      <c r="J133" s="242">
        <v>5</v>
      </c>
      <c r="K133" s="241"/>
      <c r="L133" s="242" t="s">
        <v>383</v>
      </c>
    </row>
    <row r="134" spans="2:14" ht="16.5" customHeight="1" x14ac:dyDescent="0.45">
      <c r="B134" s="240" t="s">
        <v>940</v>
      </c>
      <c r="C134" s="241">
        <v>30059</v>
      </c>
      <c r="D134" s="242">
        <v>1</v>
      </c>
      <c r="E134" s="256">
        <v>42003</v>
      </c>
      <c r="F134" s="243">
        <v>5482366.5</v>
      </c>
      <c r="H134" s="242">
        <v>1</v>
      </c>
      <c r="I134" s="245">
        <v>42003</v>
      </c>
      <c r="J134" s="242">
        <v>5</v>
      </c>
      <c r="K134" s="241"/>
      <c r="L134" s="242" t="s">
        <v>383</v>
      </c>
    </row>
    <row r="135" spans="2:14" ht="16.5" customHeight="1" x14ac:dyDescent="0.45">
      <c r="B135" s="240" t="s">
        <v>941</v>
      </c>
      <c r="C135" s="241">
        <v>32640</v>
      </c>
      <c r="D135" s="242">
        <v>1</v>
      </c>
      <c r="E135" s="256">
        <v>42013</v>
      </c>
      <c r="F135" s="243">
        <v>7702864.166666667</v>
      </c>
      <c r="H135" s="242">
        <v>1</v>
      </c>
      <c r="I135" s="245">
        <v>42013</v>
      </c>
      <c r="J135" s="242">
        <v>5</v>
      </c>
      <c r="K135" s="241"/>
      <c r="L135" s="242" t="s">
        <v>383</v>
      </c>
    </row>
    <row r="136" spans="2:14" ht="16.5" customHeight="1" x14ac:dyDescent="0.45">
      <c r="B136" s="240" t="s">
        <v>942</v>
      </c>
      <c r="C136" s="241">
        <v>32864</v>
      </c>
      <c r="D136" s="242">
        <v>2</v>
      </c>
      <c r="E136" s="256">
        <v>42036</v>
      </c>
      <c r="F136" s="243">
        <v>6448099.416666667</v>
      </c>
      <c r="H136" s="242">
        <v>1</v>
      </c>
      <c r="I136" s="245">
        <v>42036</v>
      </c>
      <c r="J136" s="242">
        <v>5</v>
      </c>
      <c r="K136" s="241"/>
      <c r="L136" s="242" t="s">
        <v>383</v>
      </c>
    </row>
    <row r="137" spans="2:14" ht="16.5" customHeight="1" x14ac:dyDescent="0.45">
      <c r="B137" s="240" t="s">
        <v>943</v>
      </c>
      <c r="C137" s="241">
        <v>25840</v>
      </c>
      <c r="D137" s="242">
        <v>2</v>
      </c>
      <c r="E137" s="256">
        <v>42142</v>
      </c>
      <c r="F137" s="243">
        <v>7901211.416666667</v>
      </c>
      <c r="H137" s="242">
        <v>1</v>
      </c>
      <c r="I137" s="245">
        <v>42142</v>
      </c>
      <c r="J137" s="242">
        <v>5</v>
      </c>
      <c r="K137" s="241"/>
      <c r="L137" s="242" t="s">
        <v>385</v>
      </c>
    </row>
    <row r="138" spans="2:14" ht="16.5" customHeight="1" x14ac:dyDescent="0.45">
      <c r="B138" s="240" t="s">
        <v>944</v>
      </c>
      <c r="C138" s="241">
        <v>31091</v>
      </c>
      <c r="D138" s="242">
        <v>2</v>
      </c>
      <c r="E138" s="256">
        <v>42178</v>
      </c>
      <c r="F138" s="243">
        <v>3069407</v>
      </c>
      <c r="H138" s="242">
        <v>1</v>
      </c>
      <c r="I138" s="245">
        <v>42178</v>
      </c>
      <c r="J138" s="242">
        <v>5</v>
      </c>
      <c r="K138" s="241"/>
      <c r="L138" s="242" t="s">
        <v>384</v>
      </c>
    </row>
    <row r="139" spans="2:14" ht="16.5" customHeight="1" x14ac:dyDescent="0.45">
      <c r="B139" s="240" t="s">
        <v>945</v>
      </c>
      <c r="C139" s="241">
        <v>28985</v>
      </c>
      <c r="D139" s="242">
        <v>2</v>
      </c>
      <c r="E139" s="256">
        <v>42278</v>
      </c>
      <c r="F139" s="243">
        <v>6424073.666666667</v>
      </c>
      <c r="H139" s="242">
        <v>1</v>
      </c>
      <c r="I139" s="245">
        <v>42278</v>
      </c>
      <c r="J139" s="242">
        <v>5</v>
      </c>
      <c r="K139" s="241"/>
      <c r="L139" s="242" t="s">
        <v>383</v>
      </c>
    </row>
    <row r="140" spans="2:14" ht="16.5" customHeight="1" x14ac:dyDescent="0.45">
      <c r="B140" s="240" t="s">
        <v>946</v>
      </c>
      <c r="C140" s="241">
        <v>32349</v>
      </c>
      <c r="D140" s="242">
        <v>2</v>
      </c>
      <c r="E140" s="256">
        <v>42278</v>
      </c>
      <c r="F140" s="243">
        <v>3266180</v>
      </c>
      <c r="H140" s="242">
        <v>1</v>
      </c>
      <c r="I140" s="245">
        <v>42278</v>
      </c>
      <c r="J140" s="242">
        <v>5</v>
      </c>
      <c r="K140" s="241"/>
      <c r="L140" s="242" t="s">
        <v>384</v>
      </c>
    </row>
    <row r="141" spans="2:14" ht="16.5" customHeight="1" x14ac:dyDescent="0.45">
      <c r="B141" s="240" t="s">
        <v>947</v>
      </c>
      <c r="C141" s="241">
        <v>31602</v>
      </c>
      <c r="D141" s="242">
        <v>2</v>
      </c>
      <c r="E141" s="256">
        <v>42329</v>
      </c>
      <c r="F141" s="243">
        <v>4566995.25</v>
      </c>
      <c r="H141" s="242">
        <v>1</v>
      </c>
      <c r="I141" s="245">
        <v>42329</v>
      </c>
      <c r="J141" s="242">
        <v>5</v>
      </c>
      <c r="K141" s="241"/>
      <c r="L141" s="242" t="s">
        <v>384</v>
      </c>
    </row>
    <row r="142" spans="2:14" ht="16.5" customHeight="1" x14ac:dyDescent="0.45">
      <c r="B142" s="240" t="s">
        <v>948</v>
      </c>
      <c r="C142" s="241">
        <v>30356</v>
      </c>
      <c r="D142" s="242">
        <v>2</v>
      </c>
      <c r="E142" s="256">
        <v>42359</v>
      </c>
      <c r="F142" s="243">
        <v>7381410.5</v>
      </c>
      <c r="H142" s="242">
        <v>1</v>
      </c>
      <c r="I142" s="245">
        <v>42359</v>
      </c>
      <c r="J142" s="242">
        <v>5</v>
      </c>
      <c r="K142" s="241"/>
      <c r="L142" s="242" t="s">
        <v>383</v>
      </c>
    </row>
    <row r="143" spans="2:14" ht="16.5" customHeight="1" x14ac:dyDescent="0.45">
      <c r="B143" s="240" t="s">
        <v>949</v>
      </c>
      <c r="C143" s="241">
        <v>33516</v>
      </c>
      <c r="D143" s="242">
        <v>2</v>
      </c>
      <c r="E143" s="256">
        <v>42377</v>
      </c>
      <c r="F143" s="243">
        <v>7706351.916666667</v>
      </c>
      <c r="G143" s="264">
        <v>100000</v>
      </c>
      <c r="H143" s="242">
        <v>1</v>
      </c>
      <c r="I143" s="245">
        <v>42377</v>
      </c>
      <c r="J143" s="242">
        <v>5</v>
      </c>
      <c r="K143" s="241"/>
      <c r="L143" s="242" t="s">
        <v>383</v>
      </c>
      <c r="M143" s="242" t="s">
        <v>381</v>
      </c>
    </row>
    <row r="144" spans="2:14" ht="16.5" customHeight="1" x14ac:dyDescent="0.45">
      <c r="B144" s="240" t="s">
        <v>950</v>
      </c>
      <c r="C144" s="241">
        <v>31820</v>
      </c>
      <c r="D144" s="242">
        <v>1</v>
      </c>
      <c r="E144" s="256">
        <v>42377</v>
      </c>
      <c r="F144" s="243">
        <v>7528193.25</v>
      </c>
      <c r="G144" s="264">
        <v>100000</v>
      </c>
      <c r="H144" s="242">
        <v>1</v>
      </c>
      <c r="I144" s="245">
        <v>42377</v>
      </c>
      <c r="J144" s="242">
        <v>5</v>
      </c>
      <c r="K144" s="241"/>
      <c r="L144" s="242" t="s">
        <v>383</v>
      </c>
      <c r="M144" s="242" t="s">
        <v>381</v>
      </c>
    </row>
    <row r="145" spans="2:13" ht="16.5" customHeight="1" x14ac:dyDescent="0.45">
      <c r="B145" s="240" t="s">
        <v>951</v>
      </c>
      <c r="C145" s="241">
        <v>32898</v>
      </c>
      <c r="D145" s="242">
        <v>2</v>
      </c>
      <c r="E145" s="256">
        <v>42513</v>
      </c>
      <c r="F145" s="243">
        <v>5845044.5</v>
      </c>
      <c r="G145" s="264">
        <v>100000</v>
      </c>
      <c r="H145" s="242">
        <v>1</v>
      </c>
      <c r="I145" s="245">
        <v>42513</v>
      </c>
      <c r="J145" s="242">
        <v>5</v>
      </c>
      <c r="K145" s="241"/>
      <c r="L145" s="242" t="s">
        <v>383</v>
      </c>
      <c r="M145" s="242" t="s">
        <v>381</v>
      </c>
    </row>
    <row r="146" spans="2:13" ht="16.5" customHeight="1" x14ac:dyDescent="0.45">
      <c r="B146" s="240" t="s">
        <v>952</v>
      </c>
      <c r="C146" s="241">
        <v>30361</v>
      </c>
      <c r="D146" s="242">
        <v>2</v>
      </c>
      <c r="E146" s="256">
        <v>42522</v>
      </c>
      <c r="F146" s="243">
        <v>7590404</v>
      </c>
      <c r="G146" s="264">
        <v>100000</v>
      </c>
      <c r="H146" s="242">
        <v>1</v>
      </c>
      <c r="I146" s="245">
        <v>42522</v>
      </c>
      <c r="J146" s="242">
        <v>5</v>
      </c>
      <c r="K146" s="241"/>
      <c r="L146" s="242" t="s">
        <v>383</v>
      </c>
      <c r="M146" s="242" t="s">
        <v>381</v>
      </c>
    </row>
    <row r="147" spans="2:13" ht="16.5" customHeight="1" x14ac:dyDescent="0.45">
      <c r="B147" s="240" t="s">
        <v>953</v>
      </c>
      <c r="C147" s="241">
        <v>32292</v>
      </c>
      <c r="D147" s="242">
        <v>2</v>
      </c>
      <c r="E147" s="256">
        <v>42543</v>
      </c>
      <c r="F147" s="243">
        <v>3453418.25</v>
      </c>
      <c r="G147" s="264">
        <v>100000</v>
      </c>
      <c r="H147" s="242">
        <v>1</v>
      </c>
      <c r="I147" s="245">
        <v>42543</v>
      </c>
      <c r="J147" s="242">
        <v>5</v>
      </c>
      <c r="K147" s="241"/>
      <c r="L147" s="242" t="s">
        <v>384</v>
      </c>
      <c r="M147" s="242" t="s">
        <v>381</v>
      </c>
    </row>
    <row r="148" spans="2:13" ht="16.5" customHeight="1" x14ac:dyDescent="0.45">
      <c r="B148" s="240" t="s">
        <v>954</v>
      </c>
      <c r="C148" s="241">
        <v>32567</v>
      </c>
      <c r="D148" s="242">
        <v>2</v>
      </c>
      <c r="E148" s="256">
        <v>42598</v>
      </c>
      <c r="F148" s="243">
        <v>3417740</v>
      </c>
      <c r="G148" s="264">
        <v>100000</v>
      </c>
      <c r="H148" s="242">
        <v>1</v>
      </c>
      <c r="I148" s="245">
        <v>42598</v>
      </c>
      <c r="J148" s="242">
        <v>5</v>
      </c>
      <c r="K148" s="241"/>
      <c r="L148" s="242" t="s">
        <v>384</v>
      </c>
      <c r="M148" s="242" t="s">
        <v>381</v>
      </c>
    </row>
    <row r="149" spans="2:13" ht="16.5" customHeight="1" x14ac:dyDescent="0.45">
      <c r="B149" s="240" t="s">
        <v>955</v>
      </c>
      <c r="C149" s="241">
        <v>32839</v>
      </c>
      <c r="D149" s="242">
        <v>2</v>
      </c>
      <c r="E149" s="256">
        <v>42647</v>
      </c>
      <c r="F149" s="243">
        <v>5538376.166666667</v>
      </c>
      <c r="G149" s="264">
        <v>100000</v>
      </c>
      <c r="H149" s="242">
        <v>1</v>
      </c>
      <c r="I149" s="245">
        <v>42647</v>
      </c>
      <c r="J149" s="242">
        <v>5</v>
      </c>
      <c r="K149" s="241"/>
      <c r="L149" s="242" t="s">
        <v>383</v>
      </c>
      <c r="M149" s="242" t="s">
        <v>381</v>
      </c>
    </row>
    <row r="150" spans="2:13" ht="16.5" customHeight="1" x14ac:dyDescent="0.45">
      <c r="B150" s="240" t="s">
        <v>956</v>
      </c>
      <c r="C150" s="241">
        <v>31649</v>
      </c>
      <c r="D150" s="242">
        <v>2</v>
      </c>
      <c r="E150" s="256">
        <v>42653</v>
      </c>
      <c r="F150" s="243">
        <v>5314734</v>
      </c>
      <c r="G150" s="264">
        <v>100000</v>
      </c>
      <c r="H150" s="242">
        <v>1</v>
      </c>
      <c r="I150" s="245">
        <v>42653</v>
      </c>
      <c r="J150" s="242">
        <v>5</v>
      </c>
      <c r="K150" s="241"/>
      <c r="L150" s="242" t="s">
        <v>384</v>
      </c>
      <c r="M150" s="242" t="s">
        <v>381</v>
      </c>
    </row>
    <row r="151" spans="2:13" ht="16.5" customHeight="1" x14ac:dyDescent="0.45">
      <c r="B151" s="240" t="s">
        <v>957</v>
      </c>
      <c r="C151" s="241">
        <v>32911</v>
      </c>
      <c r="D151" s="242">
        <v>1</v>
      </c>
      <c r="E151" s="256">
        <v>42653</v>
      </c>
      <c r="F151" s="243">
        <v>4749369</v>
      </c>
      <c r="G151" s="264">
        <v>100000</v>
      </c>
      <c r="H151" s="242">
        <v>1</v>
      </c>
      <c r="I151" s="245">
        <v>42653</v>
      </c>
      <c r="J151" s="242">
        <v>5</v>
      </c>
      <c r="K151" s="241"/>
      <c r="L151" s="242" t="s">
        <v>383</v>
      </c>
      <c r="M151" s="242" t="s">
        <v>381</v>
      </c>
    </row>
    <row r="152" spans="2:13" ht="16.5" customHeight="1" x14ac:dyDescent="0.45">
      <c r="B152" s="240" t="s">
        <v>958</v>
      </c>
      <c r="C152" s="241">
        <v>28086</v>
      </c>
      <c r="D152" s="242">
        <v>1</v>
      </c>
      <c r="E152" s="256">
        <v>42675</v>
      </c>
      <c r="F152" s="243">
        <v>8662426.75</v>
      </c>
      <c r="G152" s="264">
        <v>100000</v>
      </c>
      <c r="H152" s="242">
        <v>1</v>
      </c>
      <c r="I152" s="245">
        <v>42675</v>
      </c>
      <c r="J152" s="242">
        <v>5</v>
      </c>
      <c r="K152" s="241"/>
      <c r="L152" s="242" t="s">
        <v>383</v>
      </c>
      <c r="M152" s="242" t="s">
        <v>381</v>
      </c>
    </row>
    <row r="153" spans="2:13" ht="16.5" customHeight="1" x14ac:dyDescent="0.45">
      <c r="B153" s="240" t="s">
        <v>959</v>
      </c>
      <c r="C153" s="241">
        <v>31817</v>
      </c>
      <c r="D153" s="242">
        <v>2</v>
      </c>
      <c r="E153" s="256">
        <v>42767</v>
      </c>
      <c r="F153" s="243">
        <v>3453415.1666666665</v>
      </c>
      <c r="H153" s="242">
        <v>1</v>
      </c>
      <c r="I153" s="245">
        <v>42767</v>
      </c>
      <c r="J153" s="242">
        <v>5</v>
      </c>
      <c r="K153" s="241"/>
      <c r="L153" s="242" t="s">
        <v>384</v>
      </c>
    </row>
    <row r="154" spans="2:13" ht="16.5" customHeight="1" x14ac:dyDescent="0.45">
      <c r="B154" s="240" t="s">
        <v>960</v>
      </c>
      <c r="C154" s="241">
        <v>31811</v>
      </c>
      <c r="D154" s="242">
        <v>2</v>
      </c>
      <c r="E154" s="256">
        <v>42796</v>
      </c>
      <c r="F154" s="243">
        <v>6605883</v>
      </c>
      <c r="H154" s="242">
        <v>1</v>
      </c>
      <c r="I154" s="245">
        <v>42796</v>
      </c>
      <c r="J154" s="242">
        <v>5</v>
      </c>
      <c r="K154" s="241"/>
      <c r="L154" s="242" t="s">
        <v>383</v>
      </c>
    </row>
    <row r="155" spans="2:13" ht="16.5" customHeight="1" x14ac:dyDescent="0.45">
      <c r="B155" s="240" t="s">
        <v>961</v>
      </c>
      <c r="C155" s="241">
        <v>33000</v>
      </c>
      <c r="D155" s="242">
        <v>2</v>
      </c>
      <c r="E155" s="256">
        <v>42844</v>
      </c>
      <c r="F155" s="243">
        <v>3512007.3333333335</v>
      </c>
      <c r="H155" s="242">
        <v>1</v>
      </c>
      <c r="I155" s="245">
        <v>42844</v>
      </c>
      <c r="J155" s="242">
        <v>5</v>
      </c>
      <c r="K155" s="241"/>
      <c r="L155" s="242" t="s">
        <v>384</v>
      </c>
    </row>
    <row r="156" spans="2:13" ht="16.5" customHeight="1" x14ac:dyDescent="0.45">
      <c r="B156" s="240" t="s">
        <v>962</v>
      </c>
      <c r="C156" s="241">
        <v>27070</v>
      </c>
      <c r="D156" s="242">
        <v>2</v>
      </c>
      <c r="E156" s="256">
        <v>42865</v>
      </c>
      <c r="F156" s="243">
        <v>11336975.666666666</v>
      </c>
      <c r="H156" s="242">
        <v>1</v>
      </c>
      <c r="I156" s="245">
        <v>42865</v>
      </c>
      <c r="J156" s="242">
        <v>5</v>
      </c>
      <c r="K156" s="241"/>
      <c r="L156" s="242" t="s">
        <v>383</v>
      </c>
    </row>
    <row r="157" spans="2:13" ht="16.5" customHeight="1" x14ac:dyDescent="0.45">
      <c r="B157" s="240" t="s">
        <v>963</v>
      </c>
      <c r="C157" s="241">
        <v>27900</v>
      </c>
      <c r="D157" s="242">
        <v>2</v>
      </c>
      <c r="E157" s="256">
        <v>42877</v>
      </c>
      <c r="F157" s="243">
        <v>23333340</v>
      </c>
      <c r="H157" s="242">
        <v>3</v>
      </c>
      <c r="I157" s="245">
        <v>43355</v>
      </c>
      <c r="J157" s="242">
        <v>5</v>
      </c>
      <c r="K157" s="241"/>
      <c r="L157" s="242" t="s">
        <v>386</v>
      </c>
    </row>
    <row r="158" spans="2:13" ht="16.5" customHeight="1" x14ac:dyDescent="0.45">
      <c r="B158" s="240" t="s">
        <v>964</v>
      </c>
      <c r="C158" s="241">
        <v>33046</v>
      </c>
      <c r="D158" s="242">
        <v>2</v>
      </c>
      <c r="E158" s="256">
        <v>42877</v>
      </c>
      <c r="F158" s="243">
        <v>3453751.0833333335</v>
      </c>
      <c r="H158" s="242">
        <v>1</v>
      </c>
      <c r="I158" s="245">
        <v>42877</v>
      </c>
      <c r="J158" s="242">
        <v>5</v>
      </c>
      <c r="K158" s="241"/>
      <c r="L158" s="242" t="s">
        <v>384</v>
      </c>
    </row>
    <row r="159" spans="2:13" ht="16.5" customHeight="1" x14ac:dyDescent="0.45">
      <c r="B159" s="240" t="s">
        <v>965</v>
      </c>
      <c r="C159" s="241">
        <v>27231</v>
      </c>
      <c r="D159" s="242">
        <v>2</v>
      </c>
      <c r="E159" s="256">
        <v>42893</v>
      </c>
      <c r="F159" s="243">
        <v>15594619.5</v>
      </c>
      <c r="H159" s="242">
        <v>1</v>
      </c>
      <c r="I159" s="245">
        <v>42893</v>
      </c>
      <c r="J159" s="242">
        <v>5</v>
      </c>
      <c r="K159" s="241"/>
      <c r="L159" s="242" t="s">
        <v>383</v>
      </c>
    </row>
    <row r="160" spans="2:13" ht="16.5" customHeight="1" x14ac:dyDescent="0.45">
      <c r="B160" s="240" t="s">
        <v>966</v>
      </c>
      <c r="C160" s="241">
        <v>34427</v>
      </c>
      <c r="D160" s="242">
        <v>2</v>
      </c>
      <c r="E160" s="256">
        <v>43004</v>
      </c>
      <c r="F160" s="243">
        <v>3118359.3333333335</v>
      </c>
      <c r="H160" s="242">
        <v>1</v>
      </c>
      <c r="I160" s="245">
        <v>43004</v>
      </c>
      <c r="J160" s="242">
        <v>5</v>
      </c>
      <c r="K160" s="241"/>
      <c r="L160" s="242" t="s">
        <v>384</v>
      </c>
    </row>
    <row r="161" spans="2:12" ht="16.5" customHeight="1" x14ac:dyDescent="0.45">
      <c r="B161" s="240" t="s">
        <v>967</v>
      </c>
      <c r="C161" s="241">
        <v>32692</v>
      </c>
      <c r="D161" s="242">
        <v>2</v>
      </c>
      <c r="E161" s="256">
        <v>43102</v>
      </c>
      <c r="F161" s="243">
        <v>6355027</v>
      </c>
      <c r="H161" s="242">
        <v>1</v>
      </c>
      <c r="I161" s="245">
        <v>43102</v>
      </c>
      <c r="J161" s="242">
        <v>5</v>
      </c>
      <c r="K161" s="241"/>
      <c r="L161" s="242" t="s">
        <v>383</v>
      </c>
    </row>
    <row r="162" spans="2:12" ht="16.5" customHeight="1" x14ac:dyDescent="0.45">
      <c r="B162" s="240" t="s">
        <v>968</v>
      </c>
      <c r="C162" s="241">
        <v>33269</v>
      </c>
      <c r="D162" s="242">
        <v>2</v>
      </c>
      <c r="E162" s="256">
        <v>43102</v>
      </c>
      <c r="F162" s="243">
        <v>3117934.75</v>
      </c>
      <c r="H162" s="242">
        <v>1</v>
      </c>
      <c r="I162" s="245">
        <v>43102</v>
      </c>
      <c r="J162" s="242">
        <v>5</v>
      </c>
      <c r="K162" s="241"/>
      <c r="L162" s="242" t="s">
        <v>384</v>
      </c>
    </row>
    <row r="163" spans="2:12" ht="16.5" customHeight="1" x14ac:dyDescent="0.45">
      <c r="B163" s="240" t="s">
        <v>969</v>
      </c>
      <c r="C163" s="241">
        <v>32519</v>
      </c>
      <c r="D163" s="242">
        <v>2</v>
      </c>
      <c r="E163" s="256">
        <v>43108</v>
      </c>
      <c r="F163" s="243">
        <v>3169246.6666666665</v>
      </c>
      <c r="H163" s="242">
        <v>1</v>
      </c>
      <c r="I163" s="245">
        <v>43108</v>
      </c>
      <c r="J163" s="242">
        <v>5</v>
      </c>
      <c r="K163" s="241"/>
      <c r="L163" s="242" t="s">
        <v>384</v>
      </c>
    </row>
    <row r="164" spans="2:12" ht="16.5" customHeight="1" x14ac:dyDescent="0.45">
      <c r="B164" s="240" t="s">
        <v>970</v>
      </c>
      <c r="C164" s="241">
        <v>31647</v>
      </c>
      <c r="D164" s="242">
        <v>2</v>
      </c>
      <c r="E164" s="256">
        <v>43108</v>
      </c>
      <c r="F164" s="243">
        <v>3191213.4166666665</v>
      </c>
      <c r="H164" s="242">
        <v>1</v>
      </c>
      <c r="I164" s="245">
        <v>43108</v>
      </c>
      <c r="J164" s="242">
        <v>5</v>
      </c>
      <c r="K164" s="241"/>
      <c r="L164" s="242" t="s">
        <v>384</v>
      </c>
    </row>
    <row r="165" spans="2:12" ht="16.5" customHeight="1" x14ac:dyDescent="0.45">
      <c r="B165" s="240" t="s">
        <v>971</v>
      </c>
      <c r="C165" s="241">
        <v>30964</v>
      </c>
      <c r="D165" s="242">
        <v>1</v>
      </c>
      <c r="E165" s="256">
        <v>43136</v>
      </c>
      <c r="F165" s="243">
        <v>4549935.75</v>
      </c>
      <c r="H165" s="242">
        <v>1</v>
      </c>
      <c r="I165" s="245">
        <v>43136</v>
      </c>
      <c r="J165" s="242">
        <v>5</v>
      </c>
      <c r="K165" s="241"/>
      <c r="L165" s="242" t="s">
        <v>384</v>
      </c>
    </row>
    <row r="166" spans="2:12" ht="16.5" customHeight="1" x14ac:dyDescent="0.45">
      <c r="B166" s="240" t="s">
        <v>972</v>
      </c>
      <c r="C166" s="241">
        <v>32756</v>
      </c>
      <c r="D166" s="242">
        <v>2</v>
      </c>
      <c r="E166" s="256">
        <v>43171</v>
      </c>
      <c r="F166" s="243">
        <v>3186369.6666666665</v>
      </c>
      <c r="H166" s="242">
        <v>1</v>
      </c>
      <c r="I166" s="245">
        <v>43171</v>
      </c>
      <c r="J166" s="242">
        <v>5</v>
      </c>
      <c r="K166" s="241"/>
      <c r="L166" s="242" t="s">
        <v>384</v>
      </c>
    </row>
    <row r="167" spans="2:12" ht="16.5" customHeight="1" x14ac:dyDescent="0.45">
      <c r="B167" s="240" t="s">
        <v>973</v>
      </c>
      <c r="C167" s="241">
        <v>30502</v>
      </c>
      <c r="D167" s="242">
        <v>2</v>
      </c>
      <c r="E167" s="256">
        <v>43178</v>
      </c>
      <c r="F167" s="243">
        <v>5928907.916666667</v>
      </c>
      <c r="H167" s="242">
        <v>1</v>
      </c>
      <c r="I167" s="245">
        <v>43178</v>
      </c>
      <c r="J167" s="242">
        <v>5</v>
      </c>
      <c r="K167" s="241"/>
      <c r="L167" s="242" t="s">
        <v>383</v>
      </c>
    </row>
    <row r="168" spans="2:12" ht="16.5" customHeight="1" x14ac:dyDescent="0.45">
      <c r="B168" s="240" t="s">
        <v>974</v>
      </c>
      <c r="C168" s="241">
        <v>24951</v>
      </c>
      <c r="D168" s="242">
        <v>2</v>
      </c>
      <c r="E168" s="256">
        <v>43234</v>
      </c>
      <c r="F168" s="243">
        <v>10228625.166666666</v>
      </c>
      <c r="H168" s="242">
        <v>1</v>
      </c>
      <c r="I168" s="245">
        <v>43234</v>
      </c>
      <c r="J168" s="242">
        <v>5</v>
      </c>
      <c r="K168" s="241"/>
      <c r="L168" s="242" t="s">
        <v>383</v>
      </c>
    </row>
    <row r="169" spans="2:12" ht="16.5" customHeight="1" x14ac:dyDescent="0.45">
      <c r="B169" s="240" t="s">
        <v>975</v>
      </c>
      <c r="C169" s="241">
        <v>32051</v>
      </c>
      <c r="D169" s="242">
        <v>2</v>
      </c>
      <c r="E169" s="256">
        <v>43276</v>
      </c>
      <c r="F169" s="243">
        <v>3484922.6666666665</v>
      </c>
      <c r="H169" s="242">
        <v>1</v>
      </c>
      <c r="I169" s="245">
        <v>43276</v>
      </c>
      <c r="J169" s="242">
        <v>5</v>
      </c>
      <c r="K169" s="241"/>
      <c r="L169" s="242" t="s">
        <v>384</v>
      </c>
    </row>
    <row r="170" spans="2:12" ht="16.5" customHeight="1" x14ac:dyDescent="0.45">
      <c r="B170" s="240" t="s">
        <v>976</v>
      </c>
      <c r="C170" s="241">
        <v>31852</v>
      </c>
      <c r="D170" s="242">
        <v>2</v>
      </c>
      <c r="E170" s="256">
        <v>43283</v>
      </c>
      <c r="F170" s="243">
        <v>6518242.833333333</v>
      </c>
      <c r="H170" s="242">
        <v>1</v>
      </c>
      <c r="I170" s="245">
        <v>43283</v>
      </c>
      <c r="J170" s="242">
        <v>5</v>
      </c>
      <c r="K170" s="241"/>
      <c r="L170" s="242" t="s">
        <v>383</v>
      </c>
    </row>
    <row r="171" spans="2:12" ht="16.5" customHeight="1" x14ac:dyDescent="0.45">
      <c r="B171" s="240" t="s">
        <v>977</v>
      </c>
      <c r="C171" s="241">
        <v>30556</v>
      </c>
      <c r="D171" s="242">
        <v>2</v>
      </c>
      <c r="E171" s="256">
        <v>43283</v>
      </c>
      <c r="F171" s="243">
        <v>6493034.25</v>
      </c>
      <c r="H171" s="242">
        <v>1</v>
      </c>
      <c r="I171" s="245">
        <v>43283</v>
      </c>
      <c r="J171" s="242">
        <v>5</v>
      </c>
      <c r="K171" s="241"/>
      <c r="L171" s="242" t="s">
        <v>383</v>
      </c>
    </row>
    <row r="172" spans="2:12" ht="16.5" customHeight="1" x14ac:dyDescent="0.45">
      <c r="B172" s="240" t="s">
        <v>978</v>
      </c>
      <c r="C172" s="241">
        <v>30218</v>
      </c>
      <c r="D172" s="242">
        <v>2</v>
      </c>
      <c r="E172" s="256">
        <v>43293</v>
      </c>
      <c r="F172" s="243">
        <v>6732288.416666667</v>
      </c>
      <c r="H172" s="242">
        <v>1</v>
      </c>
      <c r="I172" s="245">
        <v>43293</v>
      </c>
      <c r="J172" s="242">
        <v>5</v>
      </c>
      <c r="K172" s="241"/>
      <c r="L172" s="242" t="s">
        <v>383</v>
      </c>
    </row>
    <row r="173" spans="2:12" ht="16.5" customHeight="1" x14ac:dyDescent="0.45">
      <c r="B173" s="240" t="s">
        <v>979</v>
      </c>
      <c r="C173" s="241">
        <v>33522</v>
      </c>
      <c r="D173" s="242">
        <v>2</v>
      </c>
      <c r="E173" s="256">
        <v>43297</v>
      </c>
      <c r="F173" s="243">
        <v>3103467.75</v>
      </c>
      <c r="H173" s="242">
        <v>1</v>
      </c>
      <c r="I173" s="245">
        <v>43297</v>
      </c>
      <c r="J173" s="242">
        <v>5</v>
      </c>
      <c r="K173" s="241"/>
      <c r="L173" s="242" t="s">
        <v>384</v>
      </c>
    </row>
    <row r="174" spans="2:12" ht="16.5" customHeight="1" x14ac:dyDescent="0.45">
      <c r="B174" s="240" t="s">
        <v>980</v>
      </c>
      <c r="C174" s="241">
        <v>30978</v>
      </c>
      <c r="D174" s="242">
        <v>2</v>
      </c>
      <c r="E174" s="256">
        <v>43304</v>
      </c>
      <c r="F174" s="243">
        <v>3696611.4166666665</v>
      </c>
      <c r="H174" s="242">
        <v>1</v>
      </c>
      <c r="I174" s="245">
        <v>43304</v>
      </c>
      <c r="J174" s="242">
        <v>5</v>
      </c>
      <c r="K174" s="241"/>
      <c r="L174" s="242" t="s">
        <v>384</v>
      </c>
    </row>
    <row r="175" spans="2:12" ht="16.5" customHeight="1" x14ac:dyDescent="0.45">
      <c r="B175" s="240" t="s">
        <v>981</v>
      </c>
      <c r="C175" s="241">
        <v>33233</v>
      </c>
      <c r="D175" s="242">
        <v>2</v>
      </c>
      <c r="E175" s="256">
        <v>43304</v>
      </c>
      <c r="F175" s="243">
        <v>3174452.3333333335</v>
      </c>
      <c r="H175" s="242">
        <v>1</v>
      </c>
      <c r="I175" s="245">
        <v>43304</v>
      </c>
      <c r="J175" s="242">
        <v>5</v>
      </c>
      <c r="K175" s="241"/>
      <c r="L175" s="242" t="s">
        <v>384</v>
      </c>
    </row>
    <row r="176" spans="2:12" ht="16.5" customHeight="1" x14ac:dyDescent="0.45">
      <c r="B176" s="240" t="s">
        <v>982</v>
      </c>
      <c r="C176" s="241">
        <v>30556</v>
      </c>
      <c r="D176" s="242">
        <v>2</v>
      </c>
      <c r="E176" s="256">
        <v>43325</v>
      </c>
      <c r="F176" s="243">
        <v>9777363.083333334</v>
      </c>
      <c r="H176" s="242">
        <v>1</v>
      </c>
      <c r="I176" s="245">
        <v>43325</v>
      </c>
      <c r="J176" s="242">
        <v>5</v>
      </c>
      <c r="K176" s="241"/>
      <c r="L176" s="242" t="s">
        <v>383</v>
      </c>
    </row>
    <row r="177" spans="2:12" ht="16.5" customHeight="1" x14ac:dyDescent="0.45">
      <c r="B177" s="240" t="s">
        <v>983</v>
      </c>
      <c r="C177" s="241">
        <v>28221</v>
      </c>
      <c r="D177" s="242">
        <v>1</v>
      </c>
      <c r="E177" s="256">
        <v>43356</v>
      </c>
      <c r="F177" s="264">
        <v>16666670</v>
      </c>
      <c r="H177" s="242">
        <v>3</v>
      </c>
      <c r="I177" s="245">
        <v>44682</v>
      </c>
      <c r="J177" s="242">
        <v>5</v>
      </c>
      <c r="K177" s="241"/>
      <c r="L177" s="242" t="s">
        <v>390</v>
      </c>
    </row>
    <row r="178" spans="2:12" ht="16.5" customHeight="1" x14ac:dyDescent="0.45">
      <c r="B178" s="240" t="s">
        <v>984</v>
      </c>
      <c r="C178" s="241">
        <v>24624</v>
      </c>
      <c r="D178" s="242">
        <v>1</v>
      </c>
      <c r="E178" s="256">
        <v>43358</v>
      </c>
      <c r="F178" s="264">
        <v>12880244.5</v>
      </c>
      <c r="H178" s="242">
        <v>1</v>
      </c>
      <c r="I178" s="245">
        <v>44373</v>
      </c>
      <c r="J178" s="242">
        <v>5</v>
      </c>
      <c r="K178" s="241"/>
      <c r="L178" s="242" t="s">
        <v>388</v>
      </c>
    </row>
    <row r="179" spans="2:12" ht="16.5" customHeight="1" x14ac:dyDescent="0.45">
      <c r="B179" s="240" t="s">
        <v>985</v>
      </c>
      <c r="C179" s="241">
        <v>32736</v>
      </c>
      <c r="D179" s="242">
        <v>1</v>
      </c>
      <c r="E179" s="256">
        <v>43405</v>
      </c>
      <c r="F179" s="243">
        <v>3160829.5</v>
      </c>
      <c r="H179" s="242">
        <v>1</v>
      </c>
      <c r="I179" s="245">
        <v>43405</v>
      </c>
      <c r="J179" s="242">
        <v>5</v>
      </c>
      <c r="K179" s="241"/>
      <c r="L179" s="242" t="s">
        <v>384</v>
      </c>
    </row>
    <row r="180" spans="2:12" ht="16.5" customHeight="1" x14ac:dyDescent="0.45">
      <c r="B180" s="240" t="s">
        <v>986</v>
      </c>
      <c r="C180" s="241">
        <v>29061</v>
      </c>
      <c r="D180" s="242">
        <v>1</v>
      </c>
      <c r="E180" s="256">
        <v>43430</v>
      </c>
      <c r="F180" s="243">
        <v>7494042.416666667</v>
      </c>
      <c r="H180" s="242">
        <v>1</v>
      </c>
      <c r="I180" s="245">
        <v>43430</v>
      </c>
      <c r="J180" s="242">
        <v>5</v>
      </c>
      <c r="K180" s="241"/>
      <c r="L180" s="242" t="s">
        <v>383</v>
      </c>
    </row>
    <row r="181" spans="2:12" ht="16.5" customHeight="1" x14ac:dyDescent="0.45">
      <c r="B181" s="240" t="s">
        <v>987</v>
      </c>
      <c r="C181" s="241">
        <v>30948</v>
      </c>
      <c r="D181" s="242">
        <v>2</v>
      </c>
      <c r="E181" s="256">
        <v>43437</v>
      </c>
      <c r="F181" s="243">
        <v>5161240</v>
      </c>
      <c r="H181" s="242">
        <v>1</v>
      </c>
      <c r="I181" s="245">
        <v>43437</v>
      </c>
      <c r="J181" s="242">
        <v>5</v>
      </c>
      <c r="K181" s="241"/>
      <c r="L181" s="242" t="s">
        <v>383</v>
      </c>
    </row>
    <row r="182" spans="2:12" ht="16.5" customHeight="1" x14ac:dyDescent="0.45">
      <c r="B182" s="240" t="s">
        <v>988</v>
      </c>
      <c r="C182" s="241">
        <v>33483</v>
      </c>
      <c r="D182" s="242">
        <v>1</v>
      </c>
      <c r="E182" s="256">
        <v>43439</v>
      </c>
      <c r="F182" s="243">
        <v>4480424.75</v>
      </c>
      <c r="H182" s="242">
        <v>1</v>
      </c>
      <c r="I182" s="245">
        <v>43439</v>
      </c>
      <c r="J182" s="242">
        <v>5</v>
      </c>
      <c r="K182" s="241"/>
      <c r="L182" s="242" t="s">
        <v>383</v>
      </c>
    </row>
    <row r="183" spans="2:12" ht="16.5" customHeight="1" x14ac:dyDescent="0.45">
      <c r="B183" s="240" t="s">
        <v>989</v>
      </c>
      <c r="C183" s="241">
        <v>33029</v>
      </c>
      <c r="D183" s="242">
        <v>1</v>
      </c>
      <c r="E183" s="256">
        <v>43445</v>
      </c>
      <c r="F183" s="243">
        <v>6426237.916666667</v>
      </c>
      <c r="H183" s="242">
        <v>1</v>
      </c>
      <c r="I183" s="245">
        <v>43445</v>
      </c>
      <c r="J183" s="242">
        <v>5</v>
      </c>
      <c r="K183" s="241"/>
      <c r="L183" s="242" t="s">
        <v>383</v>
      </c>
    </row>
    <row r="184" spans="2:12" ht="16.5" customHeight="1" x14ac:dyDescent="0.45">
      <c r="B184" s="240" t="s">
        <v>990</v>
      </c>
      <c r="C184" s="241">
        <v>25750</v>
      </c>
      <c r="D184" s="242">
        <v>1</v>
      </c>
      <c r="E184" s="256">
        <v>43452</v>
      </c>
      <c r="F184" s="243">
        <v>10730579.916666666</v>
      </c>
      <c r="H184" s="242">
        <v>1</v>
      </c>
      <c r="I184" s="245">
        <v>43452</v>
      </c>
      <c r="J184" s="242">
        <v>5</v>
      </c>
      <c r="K184" s="241"/>
      <c r="L184" s="242" t="s">
        <v>383</v>
      </c>
    </row>
    <row r="185" spans="2:12" ht="16.5" customHeight="1" x14ac:dyDescent="0.45">
      <c r="B185" s="240" t="s">
        <v>991</v>
      </c>
      <c r="C185" s="241">
        <v>34339</v>
      </c>
      <c r="D185" s="242">
        <v>1</v>
      </c>
      <c r="E185" s="256">
        <v>43453</v>
      </c>
      <c r="F185" s="243">
        <v>6667554.333333333</v>
      </c>
      <c r="H185" s="242">
        <v>1</v>
      </c>
      <c r="I185" s="245">
        <v>43453</v>
      </c>
      <c r="J185" s="242">
        <v>5</v>
      </c>
      <c r="K185" s="241"/>
      <c r="L185" s="242" t="s">
        <v>383</v>
      </c>
    </row>
    <row r="186" spans="2:12" ht="16.5" customHeight="1" x14ac:dyDescent="0.45">
      <c r="B186" s="240" t="s">
        <v>992</v>
      </c>
      <c r="C186" s="241">
        <v>31471</v>
      </c>
      <c r="D186" s="242">
        <v>1</v>
      </c>
      <c r="E186" s="256">
        <v>43453</v>
      </c>
      <c r="F186" s="243">
        <v>7211721.583333333</v>
      </c>
      <c r="H186" s="242">
        <v>1</v>
      </c>
      <c r="I186" s="245">
        <v>43453</v>
      </c>
      <c r="J186" s="242">
        <v>5</v>
      </c>
      <c r="K186" s="241"/>
      <c r="L186" s="242" t="s">
        <v>383</v>
      </c>
    </row>
    <row r="187" spans="2:12" ht="16.5" customHeight="1" x14ac:dyDescent="0.45">
      <c r="B187" s="240" t="s">
        <v>993</v>
      </c>
      <c r="C187" s="241">
        <v>26976</v>
      </c>
      <c r="D187" s="242">
        <v>1</v>
      </c>
      <c r="E187" s="256">
        <v>43460</v>
      </c>
      <c r="F187" s="243">
        <v>8872135.666666666</v>
      </c>
      <c r="H187" s="242">
        <v>1</v>
      </c>
      <c r="I187" s="245">
        <v>43460</v>
      </c>
      <c r="J187" s="242">
        <v>5</v>
      </c>
      <c r="K187" s="241"/>
      <c r="L187" s="242" t="s">
        <v>383</v>
      </c>
    </row>
    <row r="188" spans="2:12" ht="16.5" customHeight="1" x14ac:dyDescent="0.45">
      <c r="B188" s="240" t="s">
        <v>994</v>
      </c>
      <c r="C188" s="241">
        <v>28163</v>
      </c>
      <c r="D188" s="242">
        <v>1</v>
      </c>
      <c r="E188" s="256">
        <v>43467</v>
      </c>
      <c r="F188" s="243">
        <v>7194971.083333333</v>
      </c>
      <c r="H188" s="242">
        <v>1</v>
      </c>
      <c r="I188" s="245">
        <v>43467</v>
      </c>
      <c r="J188" s="242">
        <v>5</v>
      </c>
      <c r="K188" s="241"/>
      <c r="L188" s="242" t="s">
        <v>385</v>
      </c>
    </row>
    <row r="189" spans="2:12" ht="16.5" customHeight="1" x14ac:dyDescent="0.45">
      <c r="B189" s="240" t="s">
        <v>995</v>
      </c>
      <c r="C189" s="241">
        <v>30077</v>
      </c>
      <c r="D189" s="242">
        <v>1</v>
      </c>
      <c r="E189" s="256">
        <v>43467</v>
      </c>
      <c r="F189" s="243">
        <v>9250642.5</v>
      </c>
      <c r="H189" s="242">
        <v>1</v>
      </c>
      <c r="I189" s="245">
        <v>43467</v>
      </c>
      <c r="J189" s="242">
        <v>5</v>
      </c>
      <c r="K189" s="241"/>
      <c r="L189" s="242" t="s">
        <v>383</v>
      </c>
    </row>
    <row r="190" spans="2:12" ht="16.5" customHeight="1" x14ac:dyDescent="0.45">
      <c r="B190" s="240" t="s">
        <v>996</v>
      </c>
      <c r="C190" s="241">
        <v>29402</v>
      </c>
      <c r="D190" s="242">
        <v>1</v>
      </c>
      <c r="E190" s="256">
        <v>43467</v>
      </c>
      <c r="F190" s="243">
        <v>6795601.916666667</v>
      </c>
      <c r="H190" s="242">
        <v>1</v>
      </c>
      <c r="I190" s="245">
        <v>43467</v>
      </c>
      <c r="J190" s="242">
        <v>5</v>
      </c>
      <c r="K190" s="241"/>
      <c r="L190" s="242" t="s">
        <v>385</v>
      </c>
    </row>
    <row r="191" spans="2:12" ht="16.5" customHeight="1" x14ac:dyDescent="0.45">
      <c r="B191" s="240" t="s">
        <v>997</v>
      </c>
      <c r="C191" s="241">
        <v>28018</v>
      </c>
      <c r="D191" s="242">
        <v>2</v>
      </c>
      <c r="E191" s="256">
        <v>43479</v>
      </c>
      <c r="F191" s="243">
        <v>8303707.25</v>
      </c>
      <c r="H191" s="242">
        <v>1</v>
      </c>
      <c r="I191" s="245">
        <v>43479</v>
      </c>
      <c r="J191" s="242">
        <v>5</v>
      </c>
      <c r="K191" s="241"/>
      <c r="L191" s="242" t="s">
        <v>383</v>
      </c>
    </row>
    <row r="192" spans="2:12" ht="16.5" customHeight="1" x14ac:dyDescent="0.45">
      <c r="B192" s="240" t="s">
        <v>998</v>
      </c>
      <c r="C192" s="241">
        <v>25341</v>
      </c>
      <c r="D192" s="242">
        <v>1</v>
      </c>
      <c r="E192" s="256">
        <v>43486</v>
      </c>
      <c r="F192" s="243">
        <v>11236555.083333334</v>
      </c>
      <c r="H192" s="242">
        <v>1</v>
      </c>
      <c r="I192" s="245">
        <v>43486</v>
      </c>
      <c r="J192" s="242">
        <v>5</v>
      </c>
      <c r="K192" s="241"/>
      <c r="L192" s="242" t="s">
        <v>386</v>
      </c>
    </row>
    <row r="193" spans="2:14" ht="16.5" customHeight="1" x14ac:dyDescent="0.45">
      <c r="B193" s="240" t="s">
        <v>999</v>
      </c>
      <c r="C193" s="241">
        <v>34517</v>
      </c>
      <c r="D193" s="242">
        <v>2</v>
      </c>
      <c r="E193" s="256">
        <v>43486</v>
      </c>
      <c r="F193" s="243">
        <v>3166550.0833333335</v>
      </c>
      <c r="H193" s="242">
        <v>1</v>
      </c>
      <c r="I193" s="245">
        <v>43486</v>
      </c>
      <c r="J193" s="242">
        <v>5</v>
      </c>
      <c r="K193" s="241"/>
      <c r="L193" s="242" t="s">
        <v>384</v>
      </c>
    </row>
    <row r="194" spans="2:14" ht="16.5" customHeight="1" x14ac:dyDescent="0.45">
      <c r="B194" s="240" t="s">
        <v>1000</v>
      </c>
      <c r="C194" s="241">
        <v>30900</v>
      </c>
      <c r="D194" s="242">
        <v>2</v>
      </c>
      <c r="E194" s="256">
        <v>43487</v>
      </c>
      <c r="F194" s="243">
        <v>4811680.333333333</v>
      </c>
      <c r="H194" s="242">
        <v>1</v>
      </c>
      <c r="I194" s="245">
        <v>43487</v>
      </c>
      <c r="J194" s="242">
        <v>5</v>
      </c>
      <c r="K194" s="241"/>
      <c r="L194" s="242" t="s">
        <v>384</v>
      </c>
    </row>
    <row r="195" spans="2:14" ht="16.5" customHeight="1" x14ac:dyDescent="0.45">
      <c r="B195" s="240" t="s">
        <v>1001</v>
      </c>
      <c r="C195" s="241">
        <v>34647</v>
      </c>
      <c r="D195" s="242">
        <v>2</v>
      </c>
      <c r="E195" s="256">
        <v>43493</v>
      </c>
      <c r="F195" s="243">
        <v>3100829.5</v>
      </c>
      <c r="H195" s="242">
        <v>1</v>
      </c>
      <c r="I195" s="245">
        <v>43493</v>
      </c>
      <c r="J195" s="242">
        <v>5</v>
      </c>
      <c r="K195" s="241"/>
      <c r="L195" s="242" t="s">
        <v>384</v>
      </c>
    </row>
    <row r="196" spans="2:14" ht="16.5" customHeight="1" x14ac:dyDescent="0.45">
      <c r="B196" s="240" t="s">
        <v>1002</v>
      </c>
      <c r="C196" s="241">
        <v>30385</v>
      </c>
      <c r="D196" s="242">
        <v>2</v>
      </c>
      <c r="E196" s="256">
        <v>43507</v>
      </c>
      <c r="F196" s="243">
        <v>5236613.166666667</v>
      </c>
      <c r="H196" s="242">
        <v>1</v>
      </c>
      <c r="I196" s="245">
        <v>43507</v>
      </c>
      <c r="J196" s="242">
        <v>5</v>
      </c>
      <c r="K196" s="241"/>
      <c r="L196" s="242" t="s">
        <v>385</v>
      </c>
    </row>
    <row r="197" spans="2:14" ht="16.5" customHeight="1" x14ac:dyDescent="0.45">
      <c r="B197" s="240" t="s">
        <v>1003</v>
      </c>
      <c r="C197" s="241">
        <v>33577</v>
      </c>
      <c r="D197" s="242">
        <v>1</v>
      </c>
      <c r="E197" s="256">
        <v>43507</v>
      </c>
      <c r="F197" s="243">
        <v>4285640.75</v>
      </c>
      <c r="H197" s="242">
        <v>1</v>
      </c>
      <c r="I197" s="245">
        <v>43507</v>
      </c>
      <c r="J197" s="242">
        <v>5</v>
      </c>
      <c r="K197" s="241"/>
      <c r="L197" s="242" t="s">
        <v>383</v>
      </c>
    </row>
    <row r="198" spans="2:14" ht="16.5" customHeight="1" x14ac:dyDescent="0.45">
      <c r="B198" s="240" t="s">
        <v>1004</v>
      </c>
      <c r="C198" s="241">
        <v>27909</v>
      </c>
      <c r="D198" s="242">
        <v>2</v>
      </c>
      <c r="E198" s="256">
        <v>43509</v>
      </c>
      <c r="F198" s="243">
        <v>7108521</v>
      </c>
      <c r="H198" s="242">
        <v>1</v>
      </c>
      <c r="I198" s="245">
        <v>43509</v>
      </c>
      <c r="J198" s="242">
        <v>5</v>
      </c>
      <c r="K198" s="241"/>
      <c r="L198" s="242" t="s">
        <v>385</v>
      </c>
    </row>
    <row r="199" spans="2:14" ht="16.5" customHeight="1" x14ac:dyDescent="0.45">
      <c r="B199" s="240" t="s">
        <v>1005</v>
      </c>
      <c r="C199" s="241">
        <v>29588</v>
      </c>
      <c r="D199" s="242">
        <v>1</v>
      </c>
      <c r="E199" s="256">
        <v>43521</v>
      </c>
      <c r="F199" s="243">
        <v>7723836.666666667</v>
      </c>
      <c r="H199" s="242">
        <v>1</v>
      </c>
      <c r="I199" s="245">
        <v>43521</v>
      </c>
      <c r="J199" s="242">
        <v>5</v>
      </c>
      <c r="K199" s="241"/>
      <c r="L199" s="242" t="s">
        <v>385</v>
      </c>
    </row>
    <row r="200" spans="2:14" ht="16.5" customHeight="1" x14ac:dyDescent="0.45">
      <c r="B200" s="240" t="s">
        <v>1006</v>
      </c>
      <c r="C200" s="241">
        <v>30834</v>
      </c>
      <c r="D200" s="242">
        <v>1</v>
      </c>
      <c r="E200" s="256">
        <v>43521</v>
      </c>
      <c r="F200" s="243">
        <v>5803921.083333333</v>
      </c>
      <c r="H200" s="242">
        <v>1</v>
      </c>
      <c r="I200" s="245">
        <v>43521</v>
      </c>
      <c r="J200" s="242">
        <v>5</v>
      </c>
      <c r="K200" s="241"/>
      <c r="L200" s="242" t="s">
        <v>385</v>
      </c>
    </row>
    <row r="201" spans="2:14" ht="16.5" customHeight="1" x14ac:dyDescent="0.45">
      <c r="B201" s="240" t="s">
        <v>1007</v>
      </c>
      <c r="C201" s="241">
        <v>32815</v>
      </c>
      <c r="D201" s="242">
        <v>1</v>
      </c>
      <c r="E201" s="256">
        <v>43528</v>
      </c>
      <c r="F201" s="243">
        <v>4501376.333333333</v>
      </c>
      <c r="H201" s="242">
        <v>1</v>
      </c>
      <c r="I201" s="245">
        <v>43528</v>
      </c>
      <c r="J201" s="242">
        <v>5</v>
      </c>
      <c r="K201" s="241"/>
      <c r="L201" s="242" t="s">
        <v>384</v>
      </c>
    </row>
    <row r="202" spans="2:14" ht="16.5" customHeight="1" x14ac:dyDescent="0.45">
      <c r="B202" s="240" t="s">
        <v>1008</v>
      </c>
      <c r="C202" s="241">
        <v>32742</v>
      </c>
      <c r="D202" s="242">
        <v>2</v>
      </c>
      <c r="E202" s="256">
        <v>43528</v>
      </c>
      <c r="F202" s="243">
        <v>4593593.833333333</v>
      </c>
      <c r="H202" s="242">
        <v>1</v>
      </c>
      <c r="I202" s="245">
        <v>43528</v>
      </c>
      <c r="J202" s="242">
        <v>5</v>
      </c>
      <c r="K202" s="241"/>
      <c r="L202" s="242" t="s">
        <v>384</v>
      </c>
    </row>
    <row r="203" spans="2:14" ht="16.5" customHeight="1" x14ac:dyDescent="0.45">
      <c r="B203" s="240" t="s">
        <v>1009</v>
      </c>
      <c r="C203" s="241">
        <v>30545</v>
      </c>
      <c r="D203" s="242">
        <v>2</v>
      </c>
      <c r="E203" s="256">
        <v>43545</v>
      </c>
      <c r="F203" s="243">
        <v>5225532.5</v>
      </c>
      <c r="H203" s="242">
        <v>1</v>
      </c>
      <c r="I203" s="245">
        <v>43545</v>
      </c>
      <c r="J203" s="242">
        <v>5</v>
      </c>
      <c r="K203" s="241"/>
      <c r="L203" s="242" t="s">
        <v>384</v>
      </c>
    </row>
    <row r="204" spans="2:14" ht="16.5" customHeight="1" x14ac:dyDescent="0.45">
      <c r="B204" s="240" t="s">
        <v>1010</v>
      </c>
      <c r="C204" s="241">
        <v>26888</v>
      </c>
      <c r="D204" s="242">
        <v>1</v>
      </c>
      <c r="E204" s="256">
        <v>43556</v>
      </c>
      <c r="F204" s="243">
        <v>7273398.916666667</v>
      </c>
      <c r="H204" s="242">
        <v>1</v>
      </c>
      <c r="I204" s="245">
        <v>43556</v>
      </c>
      <c r="J204" s="242">
        <v>5</v>
      </c>
      <c r="K204" s="241"/>
      <c r="L204" s="242" t="s">
        <v>385</v>
      </c>
    </row>
    <row r="205" spans="2:14" ht="16.5" customHeight="1" x14ac:dyDescent="0.45">
      <c r="B205" s="240" t="s">
        <v>1011</v>
      </c>
      <c r="C205" s="241">
        <v>33337</v>
      </c>
      <c r="D205" s="242">
        <v>2</v>
      </c>
      <c r="E205" s="256">
        <v>43556</v>
      </c>
      <c r="F205" s="243">
        <v>3687052.9166666665</v>
      </c>
      <c r="H205" s="242">
        <v>1</v>
      </c>
      <c r="I205" s="245">
        <v>43556</v>
      </c>
      <c r="J205" s="242">
        <v>5</v>
      </c>
      <c r="K205" s="241"/>
      <c r="L205" s="242" t="s">
        <v>384</v>
      </c>
    </row>
    <row r="206" spans="2:14" ht="16.5" customHeight="1" x14ac:dyDescent="0.45">
      <c r="B206" s="240" t="s">
        <v>1012</v>
      </c>
      <c r="C206" s="241">
        <v>29129</v>
      </c>
      <c r="D206" s="242">
        <v>1</v>
      </c>
      <c r="E206" s="256">
        <v>43563</v>
      </c>
      <c r="F206" s="243">
        <v>5802039.166666667</v>
      </c>
      <c r="H206" s="242">
        <v>1</v>
      </c>
      <c r="I206" s="245">
        <v>43563</v>
      </c>
      <c r="J206" s="242">
        <v>5</v>
      </c>
      <c r="K206" s="241"/>
      <c r="L206" s="242" t="s">
        <v>383</v>
      </c>
    </row>
    <row r="207" spans="2:14" ht="16.5" customHeight="1" x14ac:dyDescent="0.45">
      <c r="B207" s="240" t="s">
        <v>1013</v>
      </c>
      <c r="C207" s="241">
        <v>30993</v>
      </c>
      <c r="D207" s="242">
        <v>2</v>
      </c>
      <c r="E207" s="256">
        <v>43565</v>
      </c>
      <c r="F207" s="243">
        <v>6027441.166666667</v>
      </c>
      <c r="H207" s="242">
        <v>1</v>
      </c>
      <c r="I207" s="245">
        <v>43565</v>
      </c>
      <c r="J207" s="242">
        <v>5</v>
      </c>
      <c r="K207" s="241"/>
      <c r="L207" s="242" t="s">
        <v>384</v>
      </c>
    </row>
    <row r="208" spans="2:14" ht="16.5" customHeight="1" x14ac:dyDescent="0.45">
      <c r="B208" s="240" t="s">
        <v>1014</v>
      </c>
      <c r="C208" s="241">
        <v>30321</v>
      </c>
      <c r="D208" s="242">
        <v>1</v>
      </c>
      <c r="E208" s="256">
        <v>43577</v>
      </c>
      <c r="F208" s="264">
        <v>4876930.083333333</v>
      </c>
      <c r="H208" s="242">
        <v>1</v>
      </c>
      <c r="I208" s="245"/>
      <c r="J208" s="242">
        <v>5</v>
      </c>
      <c r="K208" s="241"/>
      <c r="L208" s="242" t="s">
        <v>384</v>
      </c>
      <c r="N208" s="242" t="s">
        <v>382</v>
      </c>
    </row>
    <row r="209" spans="2:12" ht="16.5" customHeight="1" x14ac:dyDescent="0.45">
      <c r="B209" s="240" t="s">
        <v>1015</v>
      </c>
      <c r="C209" s="241">
        <v>32486</v>
      </c>
      <c r="D209" s="242">
        <v>2</v>
      </c>
      <c r="E209" s="256">
        <v>43580</v>
      </c>
      <c r="F209" s="243">
        <v>3504736.9166666665</v>
      </c>
      <c r="H209" s="242">
        <v>1</v>
      </c>
      <c r="I209" s="245">
        <v>43580</v>
      </c>
      <c r="J209" s="242">
        <v>5</v>
      </c>
      <c r="K209" s="241"/>
      <c r="L209" s="242" t="s">
        <v>384</v>
      </c>
    </row>
    <row r="210" spans="2:12" ht="16.5" customHeight="1" x14ac:dyDescent="0.45">
      <c r="B210" s="240" t="s">
        <v>1016</v>
      </c>
      <c r="C210" s="241">
        <v>32701</v>
      </c>
      <c r="D210" s="242">
        <v>1</v>
      </c>
      <c r="E210" s="256">
        <v>43584</v>
      </c>
      <c r="F210" s="243">
        <v>5617001.166666667</v>
      </c>
      <c r="H210" s="242">
        <v>1</v>
      </c>
      <c r="I210" s="245">
        <v>43584</v>
      </c>
      <c r="J210" s="242">
        <v>5</v>
      </c>
      <c r="K210" s="241"/>
      <c r="L210" s="242" t="s">
        <v>383</v>
      </c>
    </row>
    <row r="211" spans="2:12" ht="16.5" customHeight="1" x14ac:dyDescent="0.45">
      <c r="B211" s="240" t="s">
        <v>1017</v>
      </c>
      <c r="C211" s="241">
        <v>26592</v>
      </c>
      <c r="D211" s="242">
        <v>1</v>
      </c>
      <c r="E211" s="256">
        <v>43586</v>
      </c>
      <c r="F211" s="243">
        <v>10442142.833333334</v>
      </c>
      <c r="H211" s="242">
        <v>1</v>
      </c>
      <c r="I211" s="245">
        <v>43586</v>
      </c>
      <c r="J211" s="242">
        <v>5</v>
      </c>
      <c r="K211" s="241"/>
      <c r="L211" s="242" t="s">
        <v>383</v>
      </c>
    </row>
    <row r="212" spans="2:12" ht="16.5" customHeight="1" x14ac:dyDescent="0.45">
      <c r="B212" s="240" t="s">
        <v>1018</v>
      </c>
      <c r="C212" s="241">
        <v>32853</v>
      </c>
      <c r="D212" s="242">
        <v>2</v>
      </c>
      <c r="E212" s="256">
        <v>43587</v>
      </c>
      <c r="F212" s="243">
        <v>5911039.666666667</v>
      </c>
      <c r="H212" s="242">
        <v>1</v>
      </c>
      <c r="I212" s="245">
        <v>43587</v>
      </c>
      <c r="J212" s="242">
        <v>5</v>
      </c>
      <c r="K212" s="241"/>
      <c r="L212" s="242" t="s">
        <v>385</v>
      </c>
    </row>
    <row r="213" spans="2:12" ht="16.5" customHeight="1" x14ac:dyDescent="0.45">
      <c r="B213" s="240" t="s">
        <v>1019</v>
      </c>
      <c r="C213" s="241">
        <v>33569</v>
      </c>
      <c r="D213" s="242">
        <v>2</v>
      </c>
      <c r="E213" s="256">
        <v>43587</v>
      </c>
      <c r="F213" s="243">
        <v>4806115.75</v>
      </c>
      <c r="H213" s="242">
        <v>1</v>
      </c>
      <c r="I213" s="245">
        <v>43587</v>
      </c>
      <c r="J213" s="242">
        <v>5</v>
      </c>
      <c r="K213" s="241"/>
      <c r="L213" s="242" t="s">
        <v>384</v>
      </c>
    </row>
    <row r="214" spans="2:12" ht="16.5" customHeight="1" x14ac:dyDescent="0.45">
      <c r="B214" s="240" t="s">
        <v>1020</v>
      </c>
      <c r="C214" s="241">
        <v>30797</v>
      </c>
      <c r="D214" s="242">
        <v>1</v>
      </c>
      <c r="E214" s="256">
        <v>43605</v>
      </c>
      <c r="F214" s="243">
        <v>4053818.5</v>
      </c>
      <c r="H214" s="242">
        <v>1</v>
      </c>
      <c r="I214" s="245">
        <v>43605</v>
      </c>
      <c r="J214" s="242">
        <v>5</v>
      </c>
      <c r="K214" s="241"/>
      <c r="L214" s="242" t="s">
        <v>384</v>
      </c>
    </row>
    <row r="215" spans="2:12" ht="16.5" customHeight="1" x14ac:dyDescent="0.45">
      <c r="B215" s="240" t="s">
        <v>1021</v>
      </c>
      <c r="C215" s="241">
        <v>29323</v>
      </c>
      <c r="D215" s="242">
        <v>1</v>
      </c>
      <c r="E215" s="256">
        <v>43605</v>
      </c>
      <c r="F215" s="243">
        <v>8572715.583333334</v>
      </c>
      <c r="H215" s="242">
        <v>1</v>
      </c>
      <c r="I215" s="245">
        <v>43605</v>
      </c>
      <c r="J215" s="242">
        <v>5</v>
      </c>
      <c r="K215" s="241"/>
      <c r="L215" s="242" t="s">
        <v>383</v>
      </c>
    </row>
    <row r="216" spans="2:12" ht="16.5" customHeight="1" x14ac:dyDescent="0.45">
      <c r="B216" s="240" t="s">
        <v>1022</v>
      </c>
      <c r="C216" s="241">
        <v>31571</v>
      </c>
      <c r="D216" s="242">
        <v>2</v>
      </c>
      <c r="E216" s="256">
        <v>43605</v>
      </c>
      <c r="F216" s="243">
        <v>3596697.25</v>
      </c>
      <c r="H216" s="242">
        <v>1</v>
      </c>
      <c r="I216" s="245">
        <v>43605</v>
      </c>
      <c r="J216" s="242">
        <v>5</v>
      </c>
      <c r="K216" s="241"/>
      <c r="L216" s="242" t="s">
        <v>384</v>
      </c>
    </row>
    <row r="217" spans="2:12" ht="16.5" customHeight="1" x14ac:dyDescent="0.45">
      <c r="B217" s="240" t="s">
        <v>1023</v>
      </c>
      <c r="C217" s="241">
        <v>30006</v>
      </c>
      <c r="D217" s="242">
        <v>1</v>
      </c>
      <c r="E217" s="256">
        <v>43619</v>
      </c>
      <c r="F217" s="243">
        <v>11538476.583333334</v>
      </c>
      <c r="H217" s="242">
        <v>1</v>
      </c>
      <c r="I217" s="245">
        <v>43619</v>
      </c>
      <c r="J217" s="242">
        <v>5</v>
      </c>
      <c r="K217" s="241"/>
      <c r="L217" s="242" t="s">
        <v>383</v>
      </c>
    </row>
    <row r="218" spans="2:12" ht="16.5" customHeight="1" x14ac:dyDescent="0.45">
      <c r="B218" s="240" t="s">
        <v>1024</v>
      </c>
      <c r="C218" s="241">
        <v>30039</v>
      </c>
      <c r="D218" s="242">
        <v>2</v>
      </c>
      <c r="E218" s="256">
        <v>43619</v>
      </c>
      <c r="F218" s="243">
        <v>7515862.5</v>
      </c>
      <c r="H218" s="242">
        <v>1</v>
      </c>
      <c r="I218" s="245">
        <v>43619</v>
      </c>
      <c r="J218" s="242">
        <v>5</v>
      </c>
      <c r="K218" s="241"/>
      <c r="L218" s="242" t="s">
        <v>383</v>
      </c>
    </row>
    <row r="219" spans="2:12" ht="16.5" customHeight="1" x14ac:dyDescent="0.45">
      <c r="B219" s="240" t="s">
        <v>1025</v>
      </c>
      <c r="C219" s="241">
        <v>31023</v>
      </c>
      <c r="D219" s="242">
        <v>2</v>
      </c>
      <c r="E219" s="256">
        <v>43619</v>
      </c>
      <c r="F219" s="243">
        <v>7144168.583333333</v>
      </c>
      <c r="H219" s="242">
        <v>1</v>
      </c>
      <c r="I219" s="245">
        <v>43619</v>
      </c>
      <c r="J219" s="242">
        <v>5</v>
      </c>
      <c r="K219" s="241"/>
      <c r="L219" s="242" t="s">
        <v>383</v>
      </c>
    </row>
    <row r="220" spans="2:12" ht="16.5" customHeight="1" x14ac:dyDescent="0.45">
      <c r="B220" s="240" t="s">
        <v>1026</v>
      </c>
      <c r="C220" s="241">
        <v>21913</v>
      </c>
      <c r="D220" s="242">
        <v>1</v>
      </c>
      <c r="E220" s="256">
        <v>43627</v>
      </c>
      <c r="F220" s="243">
        <v>31083340</v>
      </c>
      <c r="H220" s="242">
        <v>3</v>
      </c>
      <c r="I220" s="245">
        <v>43627</v>
      </c>
      <c r="J220" s="242">
        <v>5</v>
      </c>
      <c r="K220" s="241"/>
      <c r="L220" s="242" t="s">
        <v>391</v>
      </c>
    </row>
    <row r="221" spans="2:12" ht="16.5" customHeight="1" x14ac:dyDescent="0.45">
      <c r="B221" s="240" t="s">
        <v>1027</v>
      </c>
      <c r="C221" s="241">
        <v>24446</v>
      </c>
      <c r="D221" s="242">
        <v>2</v>
      </c>
      <c r="E221" s="256">
        <v>43627</v>
      </c>
      <c r="F221" s="243">
        <v>20083340</v>
      </c>
      <c r="H221" s="242">
        <v>3</v>
      </c>
      <c r="I221" s="245">
        <v>43627</v>
      </c>
      <c r="J221" s="242">
        <v>5</v>
      </c>
      <c r="K221" s="241"/>
      <c r="L221" s="242" t="s">
        <v>386</v>
      </c>
    </row>
    <row r="222" spans="2:12" ht="16.5" customHeight="1" x14ac:dyDescent="0.45">
      <c r="B222" s="240" t="s">
        <v>1028</v>
      </c>
      <c r="C222" s="241">
        <v>29029</v>
      </c>
      <c r="D222" s="242">
        <v>1</v>
      </c>
      <c r="E222" s="256">
        <v>43640</v>
      </c>
      <c r="F222" s="243">
        <v>9566598.5</v>
      </c>
      <c r="H222" s="242">
        <v>1</v>
      </c>
      <c r="I222" s="245">
        <v>43640</v>
      </c>
      <c r="J222" s="242">
        <v>5</v>
      </c>
      <c r="K222" s="241"/>
      <c r="L222" s="242" t="s">
        <v>383</v>
      </c>
    </row>
    <row r="223" spans="2:12" ht="16.5" customHeight="1" x14ac:dyDescent="0.45">
      <c r="B223" s="240" t="s">
        <v>1029</v>
      </c>
      <c r="C223" s="241">
        <v>31198</v>
      </c>
      <c r="D223" s="242">
        <v>2</v>
      </c>
      <c r="E223" s="256">
        <v>43647</v>
      </c>
      <c r="F223" s="243">
        <v>5721631.416666667</v>
      </c>
      <c r="H223" s="242">
        <v>1</v>
      </c>
      <c r="I223" s="245">
        <v>43647</v>
      </c>
      <c r="J223" s="242">
        <v>5</v>
      </c>
      <c r="K223" s="241"/>
      <c r="L223" s="242" t="s">
        <v>383</v>
      </c>
    </row>
    <row r="224" spans="2:12" ht="16.5" customHeight="1" x14ac:dyDescent="0.45">
      <c r="B224" s="240" t="s">
        <v>1030</v>
      </c>
      <c r="C224" s="241">
        <v>28400</v>
      </c>
      <c r="D224" s="242">
        <v>2</v>
      </c>
      <c r="E224" s="256">
        <v>43661</v>
      </c>
      <c r="F224" s="243">
        <v>7109720.166666667</v>
      </c>
      <c r="H224" s="242">
        <v>1</v>
      </c>
      <c r="I224" s="245">
        <v>43661</v>
      </c>
      <c r="J224" s="242">
        <v>5</v>
      </c>
      <c r="K224" s="241"/>
      <c r="L224" s="242" t="s">
        <v>383</v>
      </c>
    </row>
    <row r="225" spans="2:14" ht="16.5" customHeight="1" x14ac:dyDescent="0.45">
      <c r="B225" s="240" t="s">
        <v>1031</v>
      </c>
      <c r="C225" s="241">
        <v>34102</v>
      </c>
      <c r="D225" s="242">
        <v>2</v>
      </c>
      <c r="E225" s="256">
        <v>43661</v>
      </c>
      <c r="F225" s="243">
        <v>5143115</v>
      </c>
      <c r="H225" s="242">
        <v>1</v>
      </c>
      <c r="I225" s="245">
        <v>43661</v>
      </c>
      <c r="J225" s="242">
        <v>5</v>
      </c>
      <c r="K225" s="241"/>
      <c r="L225" s="242" t="s">
        <v>384</v>
      </c>
    </row>
    <row r="226" spans="2:14" ht="16.5" customHeight="1" x14ac:dyDescent="0.45">
      <c r="B226" s="240" t="s">
        <v>1032</v>
      </c>
      <c r="C226" s="241">
        <v>28909</v>
      </c>
      <c r="D226" s="242">
        <v>1</v>
      </c>
      <c r="E226" s="256">
        <v>43675</v>
      </c>
      <c r="F226" s="243">
        <v>7085175.416666667</v>
      </c>
      <c r="H226" s="242">
        <v>1</v>
      </c>
      <c r="I226" s="245">
        <v>43675</v>
      </c>
      <c r="J226" s="242">
        <v>5</v>
      </c>
      <c r="K226" s="241"/>
      <c r="L226" s="242" t="s">
        <v>383</v>
      </c>
    </row>
    <row r="227" spans="2:14" ht="16.5" customHeight="1" x14ac:dyDescent="0.45">
      <c r="B227" s="240" t="s">
        <v>1033</v>
      </c>
      <c r="C227" s="241">
        <v>33658</v>
      </c>
      <c r="D227" s="242">
        <v>2</v>
      </c>
      <c r="E227" s="256">
        <v>43675</v>
      </c>
      <c r="F227" s="243">
        <v>3172270.5833333335</v>
      </c>
      <c r="H227" s="242">
        <v>1</v>
      </c>
      <c r="I227" s="245">
        <v>43675</v>
      </c>
      <c r="J227" s="242">
        <v>5</v>
      </c>
      <c r="K227" s="241"/>
      <c r="L227" s="242" t="s">
        <v>384</v>
      </c>
    </row>
    <row r="228" spans="2:14" ht="16.5" customHeight="1" x14ac:dyDescent="0.45">
      <c r="B228" s="240" t="s">
        <v>1034</v>
      </c>
      <c r="C228" s="241">
        <v>31405</v>
      </c>
      <c r="D228" s="242">
        <v>2</v>
      </c>
      <c r="E228" s="256">
        <v>43682</v>
      </c>
      <c r="F228" s="243">
        <v>7766746.333333333</v>
      </c>
      <c r="H228" s="242">
        <v>1</v>
      </c>
      <c r="I228" s="245">
        <v>43682</v>
      </c>
      <c r="J228" s="242">
        <v>5</v>
      </c>
      <c r="K228" s="241"/>
      <c r="L228" s="242" t="s">
        <v>383</v>
      </c>
    </row>
    <row r="229" spans="2:14" ht="16.5" customHeight="1" x14ac:dyDescent="0.45">
      <c r="B229" s="240" t="s">
        <v>1035</v>
      </c>
      <c r="C229" s="241">
        <v>31832</v>
      </c>
      <c r="D229" s="242">
        <v>1</v>
      </c>
      <c r="E229" s="256">
        <v>43685</v>
      </c>
      <c r="F229" s="243">
        <v>4164057.75</v>
      </c>
      <c r="H229" s="242">
        <v>1</v>
      </c>
      <c r="I229" s="245">
        <v>43685</v>
      </c>
      <c r="J229" s="242">
        <v>5</v>
      </c>
      <c r="K229" s="241"/>
      <c r="L229" s="242" t="s">
        <v>383</v>
      </c>
    </row>
    <row r="230" spans="2:14" ht="16.5" customHeight="1" x14ac:dyDescent="0.45">
      <c r="B230" s="240" t="s">
        <v>1036</v>
      </c>
      <c r="C230" s="241">
        <v>27511</v>
      </c>
      <c r="D230" s="242">
        <v>2</v>
      </c>
      <c r="E230" s="256">
        <v>43696</v>
      </c>
      <c r="F230" s="243">
        <v>9923659.083333334</v>
      </c>
      <c r="H230" s="242">
        <v>1</v>
      </c>
      <c r="I230" s="245">
        <v>43696</v>
      </c>
      <c r="J230" s="242">
        <v>5</v>
      </c>
      <c r="K230" s="241"/>
      <c r="L230" s="242" t="s">
        <v>383</v>
      </c>
    </row>
    <row r="231" spans="2:14" ht="16.5" customHeight="1" x14ac:dyDescent="0.45">
      <c r="B231" s="240" t="s">
        <v>1037</v>
      </c>
      <c r="C231" s="241">
        <v>30178</v>
      </c>
      <c r="D231" s="242">
        <v>2</v>
      </c>
      <c r="E231" s="256">
        <v>43703</v>
      </c>
      <c r="F231" s="243">
        <v>6513380.25</v>
      </c>
      <c r="H231" s="242">
        <v>1</v>
      </c>
      <c r="I231" s="245">
        <v>43703</v>
      </c>
      <c r="J231" s="242">
        <v>5</v>
      </c>
      <c r="K231" s="241"/>
      <c r="L231" s="242" t="s">
        <v>385</v>
      </c>
    </row>
    <row r="232" spans="2:14" ht="16.5" customHeight="1" x14ac:dyDescent="0.45">
      <c r="B232" s="240" t="s">
        <v>1038</v>
      </c>
      <c r="C232" s="241">
        <v>29312</v>
      </c>
      <c r="D232" s="242">
        <v>1</v>
      </c>
      <c r="E232" s="256">
        <v>43710</v>
      </c>
      <c r="F232" s="243">
        <v>3832350.5</v>
      </c>
      <c r="H232" s="242">
        <v>1</v>
      </c>
      <c r="I232" s="245">
        <v>43710</v>
      </c>
      <c r="J232" s="242">
        <v>5</v>
      </c>
      <c r="K232" s="241"/>
      <c r="L232" s="242" t="s">
        <v>384</v>
      </c>
    </row>
    <row r="233" spans="2:14" ht="16.5" customHeight="1" x14ac:dyDescent="0.45">
      <c r="B233" s="240" t="s">
        <v>1039</v>
      </c>
      <c r="C233" s="241">
        <v>31421</v>
      </c>
      <c r="D233" s="242">
        <v>2</v>
      </c>
      <c r="E233" s="256">
        <v>43710</v>
      </c>
      <c r="F233" s="243">
        <v>6278073</v>
      </c>
      <c r="H233" s="242">
        <v>1</v>
      </c>
      <c r="I233" s="245">
        <v>43710</v>
      </c>
      <c r="J233" s="242">
        <v>5</v>
      </c>
      <c r="K233" s="241"/>
      <c r="L233" s="242" t="s">
        <v>383</v>
      </c>
    </row>
    <row r="234" spans="2:14" ht="16.5" customHeight="1" x14ac:dyDescent="0.45">
      <c r="B234" s="240" t="s">
        <v>1040</v>
      </c>
      <c r="C234" s="241">
        <v>32430</v>
      </c>
      <c r="D234" s="242">
        <v>2</v>
      </c>
      <c r="E234" s="256">
        <v>43710</v>
      </c>
      <c r="F234" s="243">
        <v>6214197</v>
      </c>
      <c r="H234" s="242">
        <v>1</v>
      </c>
      <c r="I234" s="245">
        <v>43710</v>
      </c>
      <c r="J234" s="242">
        <v>5</v>
      </c>
      <c r="K234" s="241"/>
      <c r="L234" s="242" t="s">
        <v>383</v>
      </c>
    </row>
    <row r="235" spans="2:14" ht="16.5" customHeight="1" x14ac:dyDescent="0.45">
      <c r="B235" s="240" t="s">
        <v>1041</v>
      </c>
      <c r="C235" s="241">
        <v>29257</v>
      </c>
      <c r="D235" s="242">
        <v>1</v>
      </c>
      <c r="E235" s="256">
        <v>43724</v>
      </c>
      <c r="F235" s="264">
        <v>6637252</v>
      </c>
      <c r="H235" s="242">
        <v>1</v>
      </c>
      <c r="I235" s="245"/>
      <c r="J235" s="242">
        <v>5</v>
      </c>
      <c r="K235" s="241"/>
      <c r="L235" s="242" t="s">
        <v>383</v>
      </c>
      <c r="N235" s="242" t="s">
        <v>382</v>
      </c>
    </row>
    <row r="236" spans="2:14" ht="16.5" customHeight="1" x14ac:dyDescent="0.45">
      <c r="B236" s="240" t="s">
        <v>1042</v>
      </c>
      <c r="C236" s="241">
        <v>30422</v>
      </c>
      <c r="D236" s="242">
        <v>1</v>
      </c>
      <c r="E236" s="256">
        <v>43724</v>
      </c>
      <c r="F236" s="243">
        <v>8385372.333333333</v>
      </c>
      <c r="H236" s="242">
        <v>1</v>
      </c>
      <c r="I236" s="245">
        <v>43724</v>
      </c>
      <c r="J236" s="242">
        <v>5</v>
      </c>
      <c r="K236" s="241"/>
      <c r="L236" s="242" t="s">
        <v>383</v>
      </c>
    </row>
    <row r="237" spans="2:14" ht="16.5" customHeight="1" x14ac:dyDescent="0.45">
      <c r="B237" s="240" t="s">
        <v>1043</v>
      </c>
      <c r="C237" s="241">
        <v>30643</v>
      </c>
      <c r="D237" s="242">
        <v>2</v>
      </c>
      <c r="E237" s="256">
        <v>43724</v>
      </c>
      <c r="F237" s="243">
        <v>8700164.333333334</v>
      </c>
      <c r="H237" s="242">
        <v>1</v>
      </c>
      <c r="I237" s="245">
        <v>43724</v>
      </c>
      <c r="J237" s="242">
        <v>5</v>
      </c>
      <c r="K237" s="241"/>
      <c r="L237" s="242" t="s">
        <v>383</v>
      </c>
    </row>
    <row r="238" spans="2:14" ht="16.5" customHeight="1" x14ac:dyDescent="0.45">
      <c r="B238" s="240" t="s">
        <v>1044</v>
      </c>
      <c r="C238" s="241">
        <v>32448</v>
      </c>
      <c r="D238" s="242">
        <v>2</v>
      </c>
      <c r="E238" s="256">
        <v>43724</v>
      </c>
      <c r="F238" s="243">
        <v>5537025.583333333</v>
      </c>
      <c r="H238" s="242">
        <v>1</v>
      </c>
      <c r="I238" s="245">
        <v>43724</v>
      </c>
      <c r="J238" s="242">
        <v>5</v>
      </c>
      <c r="K238" s="241"/>
      <c r="L238" s="242" t="s">
        <v>383</v>
      </c>
    </row>
    <row r="239" spans="2:14" ht="16.5" customHeight="1" x14ac:dyDescent="0.45">
      <c r="B239" s="240" t="s">
        <v>1045</v>
      </c>
      <c r="C239" s="241">
        <v>32437</v>
      </c>
      <c r="D239" s="242">
        <v>2</v>
      </c>
      <c r="E239" s="256">
        <v>43724</v>
      </c>
      <c r="F239" s="243">
        <v>6166135.833333333</v>
      </c>
      <c r="H239" s="242">
        <v>1</v>
      </c>
      <c r="I239" s="245">
        <v>43724</v>
      </c>
      <c r="J239" s="242">
        <v>5</v>
      </c>
      <c r="K239" s="241"/>
      <c r="L239" s="242" t="s">
        <v>383</v>
      </c>
    </row>
    <row r="240" spans="2:14" ht="16.5" customHeight="1" x14ac:dyDescent="0.45">
      <c r="B240" s="240" t="s">
        <v>1046</v>
      </c>
      <c r="C240" s="241">
        <v>23608</v>
      </c>
      <c r="D240" s="242">
        <v>1</v>
      </c>
      <c r="E240" s="256">
        <v>43731</v>
      </c>
      <c r="F240" s="243">
        <v>8494937.333333334</v>
      </c>
      <c r="H240" s="242">
        <v>4</v>
      </c>
      <c r="I240" s="245">
        <v>43731</v>
      </c>
      <c r="J240" s="242">
        <v>5</v>
      </c>
      <c r="K240" s="241"/>
      <c r="L240" s="242" t="s">
        <v>386</v>
      </c>
    </row>
    <row r="241" spans="2:12" ht="16.5" customHeight="1" x14ac:dyDescent="0.45">
      <c r="B241" s="240" t="s">
        <v>1047</v>
      </c>
      <c r="C241" s="241">
        <v>32498</v>
      </c>
      <c r="D241" s="242">
        <v>1</v>
      </c>
      <c r="E241" s="256">
        <v>43731</v>
      </c>
      <c r="F241" s="243">
        <v>5193784.416666667</v>
      </c>
      <c r="H241" s="242">
        <v>1</v>
      </c>
      <c r="I241" s="245">
        <v>43731</v>
      </c>
      <c r="J241" s="242">
        <v>5</v>
      </c>
      <c r="K241" s="241"/>
      <c r="L241" s="242" t="s">
        <v>385</v>
      </c>
    </row>
    <row r="242" spans="2:12" ht="16.5" customHeight="1" x14ac:dyDescent="0.45">
      <c r="B242" s="240" t="s">
        <v>1048</v>
      </c>
      <c r="C242" s="241">
        <v>29051</v>
      </c>
      <c r="D242" s="242">
        <v>2</v>
      </c>
      <c r="E242" s="256">
        <v>43739</v>
      </c>
      <c r="F242" s="243">
        <v>22750000</v>
      </c>
      <c r="H242" s="242">
        <v>3</v>
      </c>
      <c r="I242" s="245">
        <v>43739</v>
      </c>
      <c r="J242" s="242">
        <v>5</v>
      </c>
      <c r="K242" s="241"/>
      <c r="L242" s="242" t="s">
        <v>386</v>
      </c>
    </row>
    <row r="243" spans="2:12" ht="16.5" customHeight="1" x14ac:dyDescent="0.45">
      <c r="B243" s="240" t="s">
        <v>1049</v>
      </c>
      <c r="C243" s="241">
        <v>23658</v>
      </c>
      <c r="D243" s="242">
        <v>2</v>
      </c>
      <c r="E243" s="256">
        <v>43739</v>
      </c>
      <c r="F243" s="243">
        <v>10221528</v>
      </c>
      <c r="H243" s="242">
        <v>4</v>
      </c>
      <c r="I243" s="245">
        <v>43739</v>
      </c>
      <c r="J243" s="242">
        <v>5</v>
      </c>
      <c r="K243" s="241"/>
      <c r="L243" s="242" t="s">
        <v>383</v>
      </c>
    </row>
    <row r="244" spans="2:12" ht="16.5" customHeight="1" x14ac:dyDescent="0.45">
      <c r="B244" s="240" t="s">
        <v>1050</v>
      </c>
      <c r="C244" s="241">
        <v>26763</v>
      </c>
      <c r="D244" s="242">
        <v>2</v>
      </c>
      <c r="E244" s="256">
        <v>43739</v>
      </c>
      <c r="F244" s="243">
        <v>7431121.333333333</v>
      </c>
      <c r="H244" s="242">
        <v>1</v>
      </c>
      <c r="I244" s="245">
        <v>43739</v>
      </c>
      <c r="J244" s="242">
        <v>5</v>
      </c>
      <c r="K244" s="241"/>
      <c r="L244" s="242" t="s">
        <v>383</v>
      </c>
    </row>
    <row r="245" spans="2:12" ht="16.5" customHeight="1" x14ac:dyDescent="0.45">
      <c r="B245" s="240" t="s">
        <v>1051</v>
      </c>
      <c r="C245" s="241">
        <v>32735</v>
      </c>
      <c r="D245" s="242">
        <v>2</v>
      </c>
      <c r="E245" s="256">
        <v>43767</v>
      </c>
      <c r="F245" s="243">
        <v>4468231</v>
      </c>
      <c r="H245" s="242">
        <v>1</v>
      </c>
      <c r="I245" s="245">
        <v>43767</v>
      </c>
      <c r="J245" s="242">
        <v>5</v>
      </c>
      <c r="K245" s="241"/>
      <c r="L245" s="242" t="s">
        <v>383</v>
      </c>
    </row>
    <row r="246" spans="2:12" ht="16.5" customHeight="1" x14ac:dyDescent="0.45">
      <c r="B246" s="240" t="s">
        <v>1052</v>
      </c>
      <c r="C246" s="241">
        <v>30988</v>
      </c>
      <c r="D246" s="242">
        <v>2</v>
      </c>
      <c r="E246" s="256">
        <v>43773</v>
      </c>
      <c r="F246" s="243">
        <v>7146524</v>
      </c>
      <c r="H246" s="242">
        <v>1</v>
      </c>
      <c r="I246" s="245">
        <v>43773</v>
      </c>
      <c r="J246" s="242">
        <v>5</v>
      </c>
      <c r="K246" s="241"/>
      <c r="L246" s="242" t="s">
        <v>383</v>
      </c>
    </row>
    <row r="247" spans="2:12" ht="16.5" customHeight="1" x14ac:dyDescent="0.45">
      <c r="B247" s="240" t="s">
        <v>1053</v>
      </c>
      <c r="C247" s="241">
        <v>33843</v>
      </c>
      <c r="D247" s="242">
        <v>2</v>
      </c>
      <c r="E247" s="256">
        <v>43773</v>
      </c>
      <c r="F247" s="243">
        <v>3707611.5833333335</v>
      </c>
      <c r="H247" s="242">
        <v>1</v>
      </c>
      <c r="I247" s="245">
        <v>43773</v>
      </c>
      <c r="J247" s="242">
        <v>5</v>
      </c>
      <c r="K247" s="241"/>
      <c r="L247" s="242" t="s">
        <v>384</v>
      </c>
    </row>
    <row r="248" spans="2:12" ht="16.5" customHeight="1" x14ac:dyDescent="0.45">
      <c r="B248" s="240" t="s">
        <v>1054</v>
      </c>
      <c r="C248" s="241">
        <v>30158</v>
      </c>
      <c r="D248" s="242">
        <v>2</v>
      </c>
      <c r="E248" s="256">
        <v>43775</v>
      </c>
      <c r="F248" s="243">
        <v>6926134</v>
      </c>
      <c r="H248" s="242">
        <v>1</v>
      </c>
      <c r="I248" s="245">
        <v>43775</v>
      </c>
      <c r="J248" s="242">
        <v>5</v>
      </c>
      <c r="K248" s="241"/>
      <c r="L248" s="242" t="s">
        <v>383</v>
      </c>
    </row>
    <row r="249" spans="2:12" ht="16.5" customHeight="1" x14ac:dyDescent="0.45">
      <c r="B249" s="240" t="s">
        <v>1055</v>
      </c>
      <c r="C249" s="241">
        <v>29128</v>
      </c>
      <c r="D249" s="242">
        <v>1</v>
      </c>
      <c r="E249" s="256">
        <v>43787</v>
      </c>
      <c r="F249" s="243">
        <v>11218427.25</v>
      </c>
      <c r="H249" s="242">
        <v>1</v>
      </c>
      <c r="I249" s="245">
        <v>43787</v>
      </c>
      <c r="J249" s="242">
        <v>5</v>
      </c>
      <c r="K249" s="241"/>
      <c r="L249" s="242" t="s">
        <v>383</v>
      </c>
    </row>
    <row r="250" spans="2:12" ht="16.5" customHeight="1" x14ac:dyDescent="0.45">
      <c r="B250" s="240" t="s">
        <v>1056</v>
      </c>
      <c r="C250" s="241">
        <v>33343</v>
      </c>
      <c r="D250" s="242">
        <v>2</v>
      </c>
      <c r="E250" s="256">
        <v>43801</v>
      </c>
      <c r="F250" s="243">
        <v>3268651</v>
      </c>
      <c r="H250" s="242">
        <v>1</v>
      </c>
      <c r="I250" s="245">
        <v>43801</v>
      </c>
      <c r="J250" s="242">
        <v>5</v>
      </c>
      <c r="K250" s="241"/>
      <c r="L250" s="242" t="s">
        <v>384</v>
      </c>
    </row>
    <row r="251" spans="2:12" ht="16.5" customHeight="1" x14ac:dyDescent="0.45">
      <c r="B251" s="240" t="s">
        <v>1057</v>
      </c>
      <c r="C251" s="241">
        <v>26073</v>
      </c>
      <c r="D251" s="242">
        <v>2</v>
      </c>
      <c r="E251" s="256">
        <v>43808</v>
      </c>
      <c r="F251" s="243">
        <v>6993220.083333333</v>
      </c>
      <c r="H251" s="242">
        <v>4</v>
      </c>
      <c r="I251" s="245">
        <v>43808</v>
      </c>
      <c r="J251" s="242">
        <v>5</v>
      </c>
      <c r="K251" s="241"/>
      <c r="L251" s="242" t="s">
        <v>383</v>
      </c>
    </row>
    <row r="252" spans="2:12" ht="16.5" customHeight="1" x14ac:dyDescent="0.45">
      <c r="B252" s="240" t="s">
        <v>1058</v>
      </c>
      <c r="C252" s="241">
        <v>32133</v>
      </c>
      <c r="D252" s="242">
        <v>2</v>
      </c>
      <c r="E252" s="256">
        <v>43815</v>
      </c>
      <c r="F252" s="243">
        <v>3700985.3333333335</v>
      </c>
      <c r="H252" s="242">
        <v>1</v>
      </c>
      <c r="I252" s="245">
        <v>43815</v>
      </c>
      <c r="J252" s="242">
        <v>5</v>
      </c>
      <c r="K252" s="241"/>
      <c r="L252" s="242" t="s">
        <v>384</v>
      </c>
    </row>
    <row r="253" spans="2:12" ht="16.5" customHeight="1" x14ac:dyDescent="0.45">
      <c r="B253" s="240" t="s">
        <v>1059</v>
      </c>
      <c r="C253" s="241">
        <v>28084</v>
      </c>
      <c r="D253" s="242">
        <v>1</v>
      </c>
      <c r="E253" s="256">
        <v>43822</v>
      </c>
      <c r="F253" s="243">
        <v>9838002.083333334</v>
      </c>
      <c r="H253" s="242">
        <v>1</v>
      </c>
      <c r="I253" s="245">
        <v>43822</v>
      </c>
      <c r="J253" s="242">
        <v>5</v>
      </c>
      <c r="K253" s="241"/>
      <c r="L253" s="242" t="s">
        <v>383</v>
      </c>
    </row>
    <row r="254" spans="2:12" ht="16.5" customHeight="1" x14ac:dyDescent="0.45">
      <c r="B254" s="240" t="s">
        <v>1060</v>
      </c>
      <c r="C254" s="241">
        <v>24765</v>
      </c>
      <c r="D254" s="242">
        <v>1</v>
      </c>
      <c r="E254" s="256">
        <v>43831</v>
      </c>
      <c r="F254" s="243">
        <v>27230840</v>
      </c>
      <c r="H254" s="242">
        <v>3</v>
      </c>
      <c r="I254" s="245">
        <v>43831</v>
      </c>
      <c r="J254" s="242">
        <v>5</v>
      </c>
      <c r="K254" s="241"/>
      <c r="L254" s="242" t="s">
        <v>386</v>
      </c>
    </row>
    <row r="255" spans="2:12" ht="16.5" customHeight="1" x14ac:dyDescent="0.45">
      <c r="B255" s="240" t="s">
        <v>1061</v>
      </c>
      <c r="C255" s="241">
        <v>30398</v>
      </c>
      <c r="D255" s="242">
        <v>1</v>
      </c>
      <c r="E255" s="256">
        <v>43843</v>
      </c>
      <c r="F255" s="243">
        <v>7913530.333333333</v>
      </c>
      <c r="H255" s="242">
        <v>1</v>
      </c>
      <c r="I255" s="245">
        <v>43843</v>
      </c>
      <c r="J255" s="242">
        <v>5</v>
      </c>
      <c r="K255" s="241"/>
      <c r="L255" s="242" t="s">
        <v>383</v>
      </c>
    </row>
    <row r="256" spans="2:12" ht="16.5" customHeight="1" x14ac:dyDescent="0.45">
      <c r="B256" s="240" t="s">
        <v>1062</v>
      </c>
      <c r="C256" s="241">
        <v>29979</v>
      </c>
      <c r="D256" s="242">
        <v>2</v>
      </c>
      <c r="E256" s="256">
        <v>43864</v>
      </c>
      <c r="F256" s="243">
        <v>7125531.166666667</v>
      </c>
      <c r="H256" s="242">
        <v>1</v>
      </c>
      <c r="I256" s="245">
        <v>43864</v>
      </c>
      <c r="J256" s="242">
        <v>5</v>
      </c>
      <c r="K256" s="241"/>
      <c r="L256" s="242" t="s">
        <v>383</v>
      </c>
    </row>
    <row r="257" spans="2:12" ht="16.5" customHeight="1" x14ac:dyDescent="0.45">
      <c r="B257" s="240" t="s">
        <v>1063</v>
      </c>
      <c r="C257" s="241">
        <v>30347</v>
      </c>
      <c r="D257" s="242">
        <v>1</v>
      </c>
      <c r="E257" s="256">
        <v>43864</v>
      </c>
      <c r="F257" s="243">
        <v>7111643.666666667</v>
      </c>
      <c r="H257" s="242">
        <v>1</v>
      </c>
      <c r="I257" s="245">
        <v>43864</v>
      </c>
      <c r="J257" s="242">
        <v>5</v>
      </c>
      <c r="K257" s="241"/>
      <c r="L257" s="242" t="s">
        <v>383</v>
      </c>
    </row>
    <row r="258" spans="2:12" ht="16.5" customHeight="1" x14ac:dyDescent="0.45">
      <c r="B258" s="240" t="s">
        <v>1064</v>
      </c>
      <c r="C258" s="241">
        <v>35340</v>
      </c>
      <c r="D258" s="242">
        <v>2</v>
      </c>
      <c r="E258" s="256">
        <v>43871</v>
      </c>
      <c r="F258" s="243">
        <v>4225718.25</v>
      </c>
      <c r="H258" s="242">
        <v>1</v>
      </c>
      <c r="I258" s="245">
        <v>43871</v>
      </c>
      <c r="J258" s="242">
        <v>5</v>
      </c>
      <c r="K258" s="241"/>
      <c r="L258" s="242" t="s">
        <v>383</v>
      </c>
    </row>
    <row r="259" spans="2:12" ht="16.5" customHeight="1" x14ac:dyDescent="0.45">
      <c r="B259" s="240" t="s">
        <v>1065</v>
      </c>
      <c r="C259" s="241">
        <v>31316</v>
      </c>
      <c r="D259" s="242">
        <v>2</v>
      </c>
      <c r="E259" s="256">
        <v>43878</v>
      </c>
      <c r="F259" s="243">
        <v>7220539.833333333</v>
      </c>
      <c r="H259" s="242">
        <v>1</v>
      </c>
      <c r="I259" s="245">
        <v>43878</v>
      </c>
      <c r="J259" s="242">
        <v>5</v>
      </c>
      <c r="K259" s="241"/>
      <c r="L259" s="242" t="s">
        <v>383</v>
      </c>
    </row>
    <row r="260" spans="2:12" ht="16.5" customHeight="1" x14ac:dyDescent="0.45">
      <c r="B260" s="240" t="s">
        <v>1066</v>
      </c>
      <c r="C260" s="241">
        <v>32609</v>
      </c>
      <c r="D260" s="242">
        <v>2</v>
      </c>
      <c r="E260" s="256">
        <v>43878</v>
      </c>
      <c r="F260" s="243">
        <v>3091883</v>
      </c>
      <c r="H260" s="242">
        <v>1</v>
      </c>
      <c r="I260" s="245">
        <v>43878</v>
      </c>
      <c r="J260" s="242">
        <v>5</v>
      </c>
      <c r="K260" s="241"/>
      <c r="L260" s="242" t="s">
        <v>384</v>
      </c>
    </row>
    <row r="261" spans="2:12" ht="16.5" customHeight="1" x14ac:dyDescent="0.45">
      <c r="B261" s="240" t="s">
        <v>1067</v>
      </c>
      <c r="C261" s="241">
        <v>34561</v>
      </c>
      <c r="D261" s="242">
        <v>2</v>
      </c>
      <c r="E261" s="256">
        <v>43885</v>
      </c>
      <c r="F261" s="243">
        <v>5473000.083333333</v>
      </c>
      <c r="H261" s="242">
        <v>1</v>
      </c>
      <c r="I261" s="245">
        <v>43885</v>
      </c>
      <c r="J261" s="242">
        <v>5</v>
      </c>
      <c r="K261" s="241"/>
      <c r="L261" s="242" t="s">
        <v>383</v>
      </c>
    </row>
    <row r="262" spans="2:12" ht="16.5" customHeight="1" x14ac:dyDescent="0.45">
      <c r="B262" s="240" t="s">
        <v>1068</v>
      </c>
      <c r="C262" s="241">
        <v>27591</v>
      </c>
      <c r="D262" s="242">
        <v>1</v>
      </c>
      <c r="E262" s="256">
        <v>43892</v>
      </c>
      <c r="F262" s="243">
        <v>15019043.416666666</v>
      </c>
      <c r="H262" s="242">
        <v>1</v>
      </c>
      <c r="I262" s="245">
        <v>43892</v>
      </c>
      <c r="J262" s="242">
        <v>5</v>
      </c>
      <c r="K262" s="241"/>
      <c r="L262" s="242" t="s">
        <v>383</v>
      </c>
    </row>
    <row r="263" spans="2:12" ht="16.5" customHeight="1" x14ac:dyDescent="0.45">
      <c r="B263" s="240" t="s">
        <v>1069</v>
      </c>
      <c r="C263" s="241">
        <v>32056</v>
      </c>
      <c r="D263" s="242">
        <v>1</v>
      </c>
      <c r="E263" s="256">
        <v>43899</v>
      </c>
      <c r="F263" s="243">
        <v>4525529.333333333</v>
      </c>
      <c r="H263" s="242">
        <v>1</v>
      </c>
      <c r="I263" s="245">
        <v>43899</v>
      </c>
      <c r="J263" s="242">
        <v>5</v>
      </c>
      <c r="K263" s="241"/>
      <c r="L263" s="242" t="s">
        <v>383</v>
      </c>
    </row>
    <row r="264" spans="2:12" ht="16.5" customHeight="1" x14ac:dyDescent="0.45">
      <c r="B264" s="240" t="s">
        <v>1070</v>
      </c>
      <c r="C264" s="241">
        <v>30868</v>
      </c>
      <c r="D264" s="242">
        <v>2</v>
      </c>
      <c r="E264" s="256">
        <v>43913</v>
      </c>
      <c r="F264" s="243">
        <v>3063203</v>
      </c>
      <c r="H264" s="242">
        <v>1</v>
      </c>
      <c r="I264" s="245">
        <v>43913</v>
      </c>
      <c r="J264" s="242">
        <v>5</v>
      </c>
      <c r="K264" s="241"/>
      <c r="L264" s="242" t="s">
        <v>384</v>
      </c>
    </row>
    <row r="265" spans="2:12" ht="16.5" customHeight="1" x14ac:dyDescent="0.45">
      <c r="B265" s="240" t="s">
        <v>1071</v>
      </c>
      <c r="C265" s="241">
        <v>32254</v>
      </c>
      <c r="D265" s="242">
        <v>1</v>
      </c>
      <c r="E265" s="256">
        <v>43934</v>
      </c>
      <c r="F265" s="243">
        <v>5679195.5</v>
      </c>
      <c r="H265" s="242">
        <v>1</v>
      </c>
      <c r="I265" s="245">
        <v>43934</v>
      </c>
      <c r="J265" s="242">
        <v>5</v>
      </c>
      <c r="K265" s="241"/>
      <c r="L265" s="242" t="s">
        <v>385</v>
      </c>
    </row>
    <row r="266" spans="2:12" ht="16.5" customHeight="1" x14ac:dyDescent="0.45">
      <c r="B266" s="240" t="s">
        <v>1072</v>
      </c>
      <c r="C266" s="241">
        <v>25879</v>
      </c>
      <c r="D266" s="242">
        <v>1</v>
      </c>
      <c r="E266" s="256">
        <v>43955</v>
      </c>
      <c r="F266" s="243">
        <v>11195569.416666666</v>
      </c>
      <c r="H266" s="242">
        <v>4</v>
      </c>
      <c r="I266" s="245">
        <v>43955</v>
      </c>
      <c r="J266" s="242">
        <v>5</v>
      </c>
      <c r="K266" s="241"/>
      <c r="L266" s="242" t="s">
        <v>388</v>
      </c>
    </row>
    <row r="267" spans="2:12" ht="16.5" customHeight="1" x14ac:dyDescent="0.45">
      <c r="B267" s="240" t="s">
        <v>1073</v>
      </c>
      <c r="C267" s="241">
        <v>30615</v>
      </c>
      <c r="D267" s="242">
        <v>1</v>
      </c>
      <c r="E267" s="256">
        <v>43955</v>
      </c>
      <c r="F267" s="243">
        <v>7867193.333333333</v>
      </c>
      <c r="H267" s="242">
        <v>1</v>
      </c>
      <c r="I267" s="245">
        <v>43955</v>
      </c>
      <c r="J267" s="242">
        <v>5</v>
      </c>
      <c r="K267" s="241"/>
      <c r="L267" s="242" t="s">
        <v>383</v>
      </c>
    </row>
    <row r="268" spans="2:12" ht="16.5" customHeight="1" x14ac:dyDescent="0.45">
      <c r="B268" s="240" t="s">
        <v>1074</v>
      </c>
      <c r="C268" s="241">
        <v>27439</v>
      </c>
      <c r="D268" s="242">
        <v>1</v>
      </c>
      <c r="E268" s="256">
        <v>43962</v>
      </c>
      <c r="F268" s="243">
        <v>9501768.666666666</v>
      </c>
      <c r="H268" s="242">
        <v>1</v>
      </c>
      <c r="I268" s="245">
        <v>43962</v>
      </c>
      <c r="J268" s="242">
        <v>5</v>
      </c>
      <c r="K268" s="241"/>
      <c r="L268" s="242" t="s">
        <v>383</v>
      </c>
    </row>
    <row r="269" spans="2:12" ht="16.5" customHeight="1" x14ac:dyDescent="0.45">
      <c r="B269" s="240" t="s">
        <v>1075</v>
      </c>
      <c r="C269" s="241">
        <v>32671</v>
      </c>
      <c r="D269" s="242">
        <v>2</v>
      </c>
      <c r="E269" s="256">
        <v>43962</v>
      </c>
      <c r="F269" s="243">
        <v>3643069.3333333335</v>
      </c>
      <c r="H269" s="242">
        <v>1</v>
      </c>
      <c r="I269" s="245">
        <v>43962</v>
      </c>
      <c r="J269" s="242">
        <v>5</v>
      </c>
      <c r="K269" s="241"/>
      <c r="L269" s="242" t="s">
        <v>384</v>
      </c>
    </row>
    <row r="270" spans="2:12" ht="16.5" customHeight="1" x14ac:dyDescent="0.45">
      <c r="B270" s="240" t="s">
        <v>1076</v>
      </c>
      <c r="C270" s="241">
        <v>34473</v>
      </c>
      <c r="D270" s="242">
        <v>2</v>
      </c>
      <c r="E270" s="256">
        <v>43969</v>
      </c>
      <c r="F270" s="243">
        <v>4157352.5</v>
      </c>
      <c r="H270" s="242">
        <v>1</v>
      </c>
      <c r="I270" s="245">
        <v>43969</v>
      </c>
      <c r="J270" s="242">
        <v>5</v>
      </c>
      <c r="K270" s="241"/>
      <c r="L270" s="242" t="s">
        <v>383</v>
      </c>
    </row>
    <row r="271" spans="2:12" ht="16.5" customHeight="1" x14ac:dyDescent="0.45">
      <c r="B271" s="240" t="s">
        <v>1077</v>
      </c>
      <c r="C271" s="241">
        <v>33214</v>
      </c>
      <c r="D271" s="242">
        <v>2</v>
      </c>
      <c r="E271" s="256">
        <v>43969</v>
      </c>
      <c r="F271" s="243">
        <v>3048635</v>
      </c>
      <c r="H271" s="242">
        <v>1</v>
      </c>
      <c r="I271" s="245">
        <v>43969</v>
      </c>
      <c r="J271" s="242">
        <v>5</v>
      </c>
      <c r="K271" s="241"/>
      <c r="L271" s="242" t="s">
        <v>384</v>
      </c>
    </row>
    <row r="272" spans="2:12" ht="16.5" customHeight="1" x14ac:dyDescent="0.45">
      <c r="B272" s="240" t="s">
        <v>1078</v>
      </c>
      <c r="C272" s="241">
        <v>32458</v>
      </c>
      <c r="D272" s="242">
        <v>1</v>
      </c>
      <c r="E272" s="256">
        <v>43983</v>
      </c>
      <c r="F272" s="243">
        <v>6683656.25</v>
      </c>
      <c r="H272" s="242">
        <v>1</v>
      </c>
      <c r="I272" s="245">
        <v>43983</v>
      </c>
      <c r="J272" s="242">
        <v>5</v>
      </c>
      <c r="K272" s="241"/>
      <c r="L272" s="242" t="s">
        <v>383</v>
      </c>
    </row>
    <row r="273" spans="2:12" ht="16.5" customHeight="1" x14ac:dyDescent="0.45">
      <c r="B273" s="240" t="s">
        <v>1079</v>
      </c>
      <c r="C273" s="241">
        <v>33243</v>
      </c>
      <c r="D273" s="242">
        <v>2</v>
      </c>
      <c r="E273" s="256">
        <v>43983</v>
      </c>
      <c r="F273" s="243">
        <v>6223612.666666667</v>
      </c>
      <c r="H273" s="242">
        <v>1</v>
      </c>
      <c r="I273" s="245">
        <v>43983</v>
      </c>
      <c r="J273" s="242">
        <v>5</v>
      </c>
      <c r="K273" s="241"/>
      <c r="L273" s="242" t="s">
        <v>383</v>
      </c>
    </row>
    <row r="274" spans="2:12" ht="16.5" customHeight="1" x14ac:dyDescent="0.45">
      <c r="B274" s="240" t="s">
        <v>1080</v>
      </c>
      <c r="C274" s="241">
        <v>35027</v>
      </c>
      <c r="D274" s="242">
        <v>1</v>
      </c>
      <c r="E274" s="256">
        <v>43983</v>
      </c>
      <c r="F274" s="243">
        <v>4120670.0833333335</v>
      </c>
      <c r="H274" s="242">
        <v>1</v>
      </c>
      <c r="I274" s="245">
        <v>43983</v>
      </c>
      <c r="J274" s="242">
        <v>5</v>
      </c>
      <c r="K274" s="241"/>
      <c r="L274" s="242" t="s">
        <v>383</v>
      </c>
    </row>
    <row r="275" spans="2:12" ht="16.5" customHeight="1" x14ac:dyDescent="0.45">
      <c r="B275" s="240" t="s">
        <v>1081</v>
      </c>
      <c r="C275" s="241">
        <v>31836</v>
      </c>
      <c r="D275" s="242">
        <v>2</v>
      </c>
      <c r="E275" s="256">
        <v>43990</v>
      </c>
      <c r="F275" s="243">
        <v>2988635</v>
      </c>
      <c r="H275" s="242">
        <v>1</v>
      </c>
      <c r="I275" s="245">
        <v>43990</v>
      </c>
      <c r="J275" s="242">
        <v>5</v>
      </c>
      <c r="K275" s="241"/>
      <c r="L275" s="242" t="s">
        <v>384</v>
      </c>
    </row>
    <row r="276" spans="2:12" ht="16.5" customHeight="1" x14ac:dyDescent="0.45">
      <c r="B276" s="240" t="s">
        <v>1082</v>
      </c>
      <c r="C276" s="241">
        <v>26900</v>
      </c>
      <c r="D276" s="242">
        <v>1</v>
      </c>
      <c r="E276" s="256">
        <v>44013</v>
      </c>
      <c r="F276" s="243">
        <v>9391045.916666666</v>
      </c>
      <c r="H276" s="242">
        <v>1</v>
      </c>
      <c r="I276" s="245">
        <v>44013</v>
      </c>
      <c r="J276" s="242">
        <v>5</v>
      </c>
      <c r="K276" s="241"/>
      <c r="L276" s="242" t="s">
        <v>383</v>
      </c>
    </row>
    <row r="277" spans="2:12" ht="16.5" customHeight="1" x14ac:dyDescent="0.45">
      <c r="B277" s="240" t="s">
        <v>1083</v>
      </c>
      <c r="C277" s="241">
        <v>35811</v>
      </c>
      <c r="D277" s="242">
        <v>2</v>
      </c>
      <c r="E277" s="256">
        <v>44015</v>
      </c>
      <c r="F277" s="243">
        <v>3057467</v>
      </c>
      <c r="H277" s="242">
        <v>1</v>
      </c>
      <c r="I277" s="245">
        <v>44015</v>
      </c>
      <c r="J277" s="242">
        <v>5</v>
      </c>
      <c r="K277" s="241"/>
      <c r="L277" s="242" t="s">
        <v>384</v>
      </c>
    </row>
    <row r="278" spans="2:12" ht="16.5" customHeight="1" x14ac:dyDescent="0.45">
      <c r="B278" s="240" t="s">
        <v>1084</v>
      </c>
      <c r="C278" s="241">
        <v>24407</v>
      </c>
      <c r="D278" s="242">
        <v>1</v>
      </c>
      <c r="E278" s="256">
        <v>44018</v>
      </c>
      <c r="F278" s="243">
        <v>14694885</v>
      </c>
      <c r="H278" s="242">
        <v>3</v>
      </c>
      <c r="I278" s="245">
        <v>44018</v>
      </c>
      <c r="J278" s="242">
        <v>5</v>
      </c>
      <c r="K278" s="241"/>
      <c r="L278" s="242" t="s">
        <v>391</v>
      </c>
    </row>
    <row r="279" spans="2:12" ht="16.5" customHeight="1" x14ac:dyDescent="0.45">
      <c r="B279" s="240" t="s">
        <v>1085</v>
      </c>
      <c r="C279" s="241">
        <v>32715</v>
      </c>
      <c r="D279" s="242">
        <v>2</v>
      </c>
      <c r="E279" s="256">
        <v>44032</v>
      </c>
      <c r="F279" s="243">
        <v>3145526.6666666665</v>
      </c>
      <c r="H279" s="242">
        <v>1</v>
      </c>
      <c r="I279" s="245">
        <v>44032</v>
      </c>
      <c r="J279" s="242">
        <v>5</v>
      </c>
      <c r="K279" s="241"/>
      <c r="L279" s="242" t="s">
        <v>384</v>
      </c>
    </row>
    <row r="280" spans="2:12" ht="16.5" customHeight="1" x14ac:dyDescent="0.45">
      <c r="B280" s="240" t="s">
        <v>1086</v>
      </c>
      <c r="C280" s="241">
        <v>26774</v>
      </c>
      <c r="D280" s="242">
        <v>1</v>
      </c>
      <c r="E280" s="256">
        <v>44036</v>
      </c>
      <c r="F280" s="243">
        <v>13881585.666666666</v>
      </c>
      <c r="H280" s="242">
        <v>1</v>
      </c>
      <c r="I280" s="245">
        <v>44036</v>
      </c>
      <c r="J280" s="242">
        <v>5</v>
      </c>
      <c r="K280" s="241"/>
      <c r="L280" s="242" t="s">
        <v>383</v>
      </c>
    </row>
    <row r="281" spans="2:12" ht="16.5" customHeight="1" x14ac:dyDescent="0.45">
      <c r="B281" s="240" t="s">
        <v>1087</v>
      </c>
      <c r="C281" s="241">
        <v>29406</v>
      </c>
      <c r="D281" s="242">
        <v>2</v>
      </c>
      <c r="E281" s="256">
        <v>44061</v>
      </c>
      <c r="F281" s="243">
        <v>8506960.166666666</v>
      </c>
      <c r="H281" s="242">
        <v>1</v>
      </c>
      <c r="I281" s="245">
        <v>44061</v>
      </c>
      <c r="J281" s="242">
        <v>5</v>
      </c>
      <c r="K281" s="241"/>
      <c r="L281" s="242" t="s">
        <v>383</v>
      </c>
    </row>
    <row r="282" spans="2:12" ht="16.5" customHeight="1" x14ac:dyDescent="0.45">
      <c r="B282" s="240" t="s">
        <v>1088</v>
      </c>
      <c r="C282" s="241">
        <v>30568</v>
      </c>
      <c r="D282" s="242">
        <v>2</v>
      </c>
      <c r="E282" s="256">
        <v>44061</v>
      </c>
      <c r="F282" s="243">
        <v>5751075.25</v>
      </c>
      <c r="H282" s="242">
        <v>1</v>
      </c>
      <c r="I282" s="245">
        <v>44061</v>
      </c>
      <c r="J282" s="242">
        <v>5</v>
      </c>
      <c r="K282" s="241"/>
      <c r="L282" s="242" t="s">
        <v>383</v>
      </c>
    </row>
    <row r="283" spans="2:12" ht="16.5" customHeight="1" x14ac:dyDescent="0.45">
      <c r="B283" s="240" t="s">
        <v>1089</v>
      </c>
      <c r="C283" s="241">
        <v>35093</v>
      </c>
      <c r="D283" s="242">
        <v>2</v>
      </c>
      <c r="E283" s="256">
        <v>44075</v>
      </c>
      <c r="F283" s="243">
        <v>4089830.0833333335</v>
      </c>
      <c r="H283" s="242">
        <v>1</v>
      </c>
      <c r="I283" s="245">
        <v>44075</v>
      </c>
      <c r="J283" s="242">
        <v>5</v>
      </c>
      <c r="K283" s="241"/>
      <c r="L283" s="242" t="s">
        <v>383</v>
      </c>
    </row>
    <row r="284" spans="2:12" ht="16.5" customHeight="1" x14ac:dyDescent="0.45">
      <c r="B284" s="240" t="s">
        <v>1090</v>
      </c>
      <c r="C284" s="241">
        <v>27031</v>
      </c>
      <c r="D284" s="242">
        <v>2</v>
      </c>
      <c r="E284" s="256">
        <v>44081</v>
      </c>
      <c r="F284" s="243">
        <v>6690505.333333333</v>
      </c>
      <c r="H284" s="242">
        <v>4</v>
      </c>
      <c r="I284" s="245">
        <v>44081</v>
      </c>
      <c r="J284" s="242">
        <v>5</v>
      </c>
      <c r="K284" s="241"/>
      <c r="L284" s="242" t="s">
        <v>383</v>
      </c>
    </row>
    <row r="285" spans="2:12" ht="16.5" customHeight="1" x14ac:dyDescent="0.45">
      <c r="B285" s="240" t="s">
        <v>1091</v>
      </c>
      <c r="C285" s="241">
        <v>27701</v>
      </c>
      <c r="D285" s="242">
        <v>2</v>
      </c>
      <c r="E285" s="256">
        <v>44090</v>
      </c>
      <c r="F285" s="243">
        <v>6130522.666666667</v>
      </c>
      <c r="H285" s="242">
        <v>1</v>
      </c>
      <c r="I285" s="245">
        <v>44090</v>
      </c>
      <c r="J285" s="242">
        <v>5</v>
      </c>
      <c r="K285" s="241"/>
      <c r="L285" s="242" t="s">
        <v>383</v>
      </c>
    </row>
    <row r="286" spans="2:12" ht="16.5" customHeight="1" x14ac:dyDescent="0.45">
      <c r="B286" s="240" t="s">
        <v>1092</v>
      </c>
      <c r="C286" s="241">
        <v>32523</v>
      </c>
      <c r="D286" s="242">
        <v>2</v>
      </c>
      <c r="E286" s="256">
        <v>44116</v>
      </c>
      <c r="F286" s="243">
        <v>3349097.25</v>
      </c>
      <c r="H286" s="242">
        <v>1</v>
      </c>
      <c r="I286" s="245">
        <v>44116</v>
      </c>
      <c r="J286" s="242">
        <v>5</v>
      </c>
      <c r="K286" s="241"/>
      <c r="L286" s="242" t="s">
        <v>384</v>
      </c>
    </row>
    <row r="287" spans="2:12" ht="16.5" customHeight="1" x14ac:dyDescent="0.45">
      <c r="B287" s="240" t="s">
        <v>1093</v>
      </c>
      <c r="C287" s="241">
        <v>28659</v>
      </c>
      <c r="D287" s="242">
        <v>1</v>
      </c>
      <c r="E287" s="256">
        <v>44123</v>
      </c>
      <c r="F287" s="243">
        <v>7068502.083333333</v>
      </c>
      <c r="H287" s="242">
        <v>1</v>
      </c>
      <c r="I287" s="245">
        <v>44123</v>
      </c>
      <c r="J287" s="242">
        <v>5</v>
      </c>
      <c r="K287" s="241"/>
      <c r="L287" s="242" t="s">
        <v>383</v>
      </c>
    </row>
    <row r="288" spans="2:12" ht="16.5" customHeight="1" x14ac:dyDescent="0.45">
      <c r="B288" s="240" t="s">
        <v>1094</v>
      </c>
      <c r="C288" s="241">
        <v>33998</v>
      </c>
      <c r="D288" s="242">
        <v>2</v>
      </c>
      <c r="E288" s="256">
        <v>44123</v>
      </c>
      <c r="F288" s="243">
        <v>4478601.666666667</v>
      </c>
      <c r="H288" s="242">
        <v>1</v>
      </c>
      <c r="I288" s="245">
        <v>44123</v>
      </c>
      <c r="J288" s="242">
        <v>5</v>
      </c>
      <c r="K288" s="241"/>
      <c r="L288" s="242" t="s">
        <v>383</v>
      </c>
    </row>
    <row r="289" spans="2:12" ht="16.5" customHeight="1" x14ac:dyDescent="0.45">
      <c r="B289" s="240" t="s">
        <v>1095</v>
      </c>
      <c r="C289" s="241">
        <v>31666</v>
      </c>
      <c r="D289" s="242">
        <v>2</v>
      </c>
      <c r="E289" s="256">
        <v>44123</v>
      </c>
      <c r="F289" s="243">
        <v>3426664.75</v>
      </c>
      <c r="H289" s="242">
        <v>1</v>
      </c>
      <c r="I289" s="245">
        <v>44123</v>
      </c>
      <c r="J289" s="242">
        <v>5</v>
      </c>
      <c r="K289" s="241"/>
      <c r="L289" s="242" t="s">
        <v>384</v>
      </c>
    </row>
    <row r="290" spans="2:12" ht="16.5" customHeight="1" x14ac:dyDescent="0.45">
      <c r="B290" s="240" t="s">
        <v>1096</v>
      </c>
      <c r="C290" s="241">
        <v>32466</v>
      </c>
      <c r="D290" s="242">
        <v>2</v>
      </c>
      <c r="E290" s="256">
        <v>44137</v>
      </c>
      <c r="F290" s="243">
        <v>3127359.5</v>
      </c>
      <c r="H290" s="242">
        <v>1</v>
      </c>
      <c r="I290" s="245">
        <v>44137</v>
      </c>
      <c r="J290" s="242">
        <v>5</v>
      </c>
      <c r="K290" s="241"/>
      <c r="L290" s="242" t="s">
        <v>384</v>
      </c>
    </row>
    <row r="291" spans="2:12" ht="16.5" customHeight="1" x14ac:dyDescent="0.45">
      <c r="B291" s="240" t="s">
        <v>1097</v>
      </c>
      <c r="C291" s="241">
        <v>31854</v>
      </c>
      <c r="D291" s="242">
        <v>2</v>
      </c>
      <c r="E291" s="256">
        <v>44158</v>
      </c>
      <c r="F291" s="243">
        <v>8453117.25</v>
      </c>
      <c r="H291" s="242">
        <v>1</v>
      </c>
      <c r="I291" s="245">
        <v>44158</v>
      </c>
      <c r="J291" s="242">
        <v>5</v>
      </c>
      <c r="K291" s="241"/>
      <c r="L291" s="242" t="s">
        <v>383</v>
      </c>
    </row>
    <row r="292" spans="2:12" ht="16.5" customHeight="1" x14ac:dyDescent="0.45">
      <c r="B292" s="240" t="s">
        <v>1098</v>
      </c>
      <c r="C292" s="241">
        <v>31524</v>
      </c>
      <c r="D292" s="242">
        <v>1</v>
      </c>
      <c r="E292" s="256">
        <v>44158</v>
      </c>
      <c r="F292" s="243">
        <v>5806574.583333333</v>
      </c>
      <c r="H292" s="242">
        <v>1</v>
      </c>
      <c r="I292" s="245">
        <v>44158</v>
      </c>
      <c r="J292" s="242">
        <v>5</v>
      </c>
      <c r="K292" s="241"/>
      <c r="L292" s="242" t="s">
        <v>383</v>
      </c>
    </row>
    <row r="293" spans="2:12" ht="16.5" customHeight="1" x14ac:dyDescent="0.45">
      <c r="B293" s="240" t="s">
        <v>1099</v>
      </c>
      <c r="C293" s="241">
        <v>33359</v>
      </c>
      <c r="D293" s="242">
        <v>2</v>
      </c>
      <c r="E293" s="256">
        <v>44166</v>
      </c>
      <c r="F293" s="243">
        <v>5363198.166666667</v>
      </c>
      <c r="H293" s="242">
        <v>1</v>
      </c>
      <c r="I293" s="245">
        <v>44166</v>
      </c>
      <c r="J293" s="242">
        <v>5</v>
      </c>
      <c r="K293" s="241"/>
      <c r="L293" s="242" t="s">
        <v>383</v>
      </c>
    </row>
    <row r="294" spans="2:12" ht="16.5" customHeight="1" x14ac:dyDescent="0.45">
      <c r="B294" s="240" t="s">
        <v>1100</v>
      </c>
      <c r="C294" s="241">
        <v>30362</v>
      </c>
      <c r="D294" s="242">
        <v>2</v>
      </c>
      <c r="E294" s="256">
        <v>44179</v>
      </c>
      <c r="F294" s="243">
        <v>3034523</v>
      </c>
      <c r="H294" s="242">
        <v>1</v>
      </c>
      <c r="I294" s="245">
        <v>44179</v>
      </c>
      <c r="J294" s="242">
        <v>5</v>
      </c>
      <c r="K294" s="241"/>
      <c r="L294" s="242" t="s">
        <v>384</v>
      </c>
    </row>
    <row r="295" spans="2:12" ht="16.5" customHeight="1" x14ac:dyDescent="0.45">
      <c r="B295" s="240" t="s">
        <v>1101</v>
      </c>
      <c r="C295" s="241">
        <v>25434</v>
      </c>
      <c r="D295" s="242">
        <v>1</v>
      </c>
      <c r="E295" s="256">
        <v>44200</v>
      </c>
      <c r="F295" s="264">
        <v>26564590</v>
      </c>
      <c r="H295" s="242">
        <v>3</v>
      </c>
      <c r="I295" s="245">
        <v>44200</v>
      </c>
      <c r="J295" s="242">
        <v>5</v>
      </c>
      <c r="K295" s="241"/>
      <c r="L295" s="242" t="s">
        <v>391</v>
      </c>
    </row>
    <row r="296" spans="2:12" ht="16.5" customHeight="1" x14ac:dyDescent="0.45">
      <c r="B296" s="240" t="s">
        <v>1102</v>
      </c>
      <c r="C296" s="241">
        <v>24524</v>
      </c>
      <c r="D296" s="242">
        <v>2</v>
      </c>
      <c r="E296" s="256">
        <v>44200</v>
      </c>
      <c r="F296" s="264">
        <v>7542787</v>
      </c>
      <c r="H296" s="242">
        <v>4</v>
      </c>
      <c r="I296" s="245">
        <v>44200</v>
      </c>
      <c r="J296" s="242">
        <v>5</v>
      </c>
      <c r="K296" s="241"/>
      <c r="L296" s="242" t="s">
        <v>383</v>
      </c>
    </row>
    <row r="297" spans="2:12" ht="16.5" customHeight="1" x14ac:dyDescent="0.45">
      <c r="B297" s="240" t="s">
        <v>1103</v>
      </c>
      <c r="C297" s="241">
        <v>22703</v>
      </c>
      <c r="D297" s="242">
        <v>2</v>
      </c>
      <c r="E297" s="256">
        <v>44201</v>
      </c>
      <c r="F297" s="264">
        <v>17083340</v>
      </c>
      <c r="H297" s="242">
        <v>3</v>
      </c>
      <c r="I297" s="245">
        <v>44201</v>
      </c>
      <c r="J297" s="242">
        <v>5</v>
      </c>
      <c r="K297" s="241"/>
      <c r="L297" s="242" t="s">
        <v>386</v>
      </c>
    </row>
    <row r="298" spans="2:12" ht="16.5" customHeight="1" x14ac:dyDescent="0.45">
      <c r="B298" s="240" t="s">
        <v>1104</v>
      </c>
      <c r="C298" s="241">
        <v>29127</v>
      </c>
      <c r="D298" s="242">
        <v>1</v>
      </c>
      <c r="E298" s="256">
        <v>44207</v>
      </c>
      <c r="F298" s="264">
        <v>6825958</v>
      </c>
      <c r="H298" s="242">
        <v>1</v>
      </c>
      <c r="I298" s="245">
        <v>44207</v>
      </c>
      <c r="J298" s="242">
        <v>5</v>
      </c>
      <c r="K298" s="241"/>
      <c r="L298" s="242" t="s">
        <v>383</v>
      </c>
    </row>
    <row r="299" spans="2:12" ht="16.5" customHeight="1" x14ac:dyDescent="0.45">
      <c r="B299" s="240" t="s">
        <v>1105</v>
      </c>
      <c r="C299" s="241">
        <v>29513</v>
      </c>
      <c r="D299" s="242">
        <v>1</v>
      </c>
      <c r="E299" s="256">
        <v>44207</v>
      </c>
      <c r="F299" s="264">
        <v>4910237</v>
      </c>
      <c r="H299" s="242">
        <v>4</v>
      </c>
      <c r="I299" s="245">
        <v>44207</v>
      </c>
      <c r="J299" s="242">
        <v>5</v>
      </c>
      <c r="K299" s="241"/>
      <c r="L299" s="242" t="s">
        <v>384</v>
      </c>
    </row>
    <row r="300" spans="2:12" ht="16.5" customHeight="1" x14ac:dyDescent="0.45">
      <c r="B300" s="240" t="s">
        <v>1106</v>
      </c>
      <c r="C300" s="241">
        <v>31979</v>
      </c>
      <c r="D300" s="242">
        <v>2</v>
      </c>
      <c r="E300" s="256">
        <v>44214</v>
      </c>
      <c r="F300" s="264">
        <v>7617900</v>
      </c>
      <c r="H300" s="242">
        <v>1</v>
      </c>
      <c r="I300" s="245">
        <v>44214</v>
      </c>
      <c r="J300" s="242">
        <v>5</v>
      </c>
      <c r="K300" s="241"/>
      <c r="L300" s="242" t="s">
        <v>383</v>
      </c>
    </row>
    <row r="301" spans="2:12" ht="16.5" customHeight="1" x14ac:dyDescent="0.45">
      <c r="B301" s="240" t="s">
        <v>1107</v>
      </c>
      <c r="C301" s="241">
        <v>24360</v>
      </c>
      <c r="D301" s="242">
        <v>1</v>
      </c>
      <c r="E301" s="256">
        <v>44228</v>
      </c>
      <c r="F301" s="264">
        <v>7653333</v>
      </c>
      <c r="H301" s="242">
        <v>4</v>
      </c>
      <c r="I301" s="245">
        <v>44228</v>
      </c>
      <c r="J301" s="242">
        <v>5</v>
      </c>
      <c r="K301" s="241"/>
      <c r="L301" s="242" t="s">
        <v>383</v>
      </c>
    </row>
    <row r="302" spans="2:12" ht="16.5" customHeight="1" x14ac:dyDescent="0.45">
      <c r="B302" s="240" t="s">
        <v>934</v>
      </c>
      <c r="C302" s="241">
        <v>33758</v>
      </c>
      <c r="D302" s="242">
        <v>1</v>
      </c>
      <c r="E302" s="256">
        <v>44228</v>
      </c>
      <c r="F302" s="264">
        <v>4015651</v>
      </c>
      <c r="H302" s="242">
        <v>1</v>
      </c>
      <c r="I302" s="245">
        <v>44228</v>
      </c>
      <c r="J302" s="242">
        <v>5</v>
      </c>
      <c r="K302" s="241"/>
      <c r="L302" s="242" t="s">
        <v>383</v>
      </c>
    </row>
    <row r="303" spans="2:12" ht="16.5" customHeight="1" x14ac:dyDescent="0.45">
      <c r="B303" s="240" t="s">
        <v>1108</v>
      </c>
      <c r="C303" s="241">
        <v>31191</v>
      </c>
      <c r="D303" s="242">
        <v>2</v>
      </c>
      <c r="E303" s="256">
        <v>44249</v>
      </c>
      <c r="F303" s="264">
        <v>7920000</v>
      </c>
      <c r="H303" s="242">
        <v>1</v>
      </c>
      <c r="I303" s="245">
        <v>44249</v>
      </c>
      <c r="J303" s="242">
        <v>5</v>
      </c>
      <c r="K303" s="241"/>
      <c r="L303" s="242" t="s">
        <v>383</v>
      </c>
    </row>
    <row r="304" spans="2:12" ht="16.5" customHeight="1" x14ac:dyDescent="0.45">
      <c r="B304" s="240" t="s">
        <v>1109</v>
      </c>
      <c r="C304" s="241">
        <v>29536</v>
      </c>
      <c r="D304" s="242">
        <v>2</v>
      </c>
      <c r="E304" s="256">
        <v>44257</v>
      </c>
      <c r="F304" s="264">
        <v>5373633</v>
      </c>
      <c r="H304" s="242">
        <v>4</v>
      </c>
      <c r="I304" s="245">
        <v>44257</v>
      </c>
      <c r="J304" s="242">
        <v>5</v>
      </c>
      <c r="K304" s="241"/>
      <c r="L304" s="242" t="s">
        <v>385</v>
      </c>
    </row>
    <row r="305" spans="2:12" ht="16.5" customHeight="1" x14ac:dyDescent="0.45">
      <c r="B305" s="240" t="s">
        <v>1110</v>
      </c>
      <c r="C305" s="241">
        <v>33647</v>
      </c>
      <c r="D305" s="242">
        <v>2</v>
      </c>
      <c r="E305" s="256">
        <v>44257</v>
      </c>
      <c r="F305" s="264">
        <v>5689928</v>
      </c>
      <c r="H305" s="242">
        <v>1</v>
      </c>
      <c r="I305" s="245">
        <v>44257</v>
      </c>
      <c r="J305" s="242">
        <v>5</v>
      </c>
      <c r="K305" s="241"/>
      <c r="L305" s="242" t="s">
        <v>383</v>
      </c>
    </row>
    <row r="306" spans="2:12" ht="16.5" customHeight="1" x14ac:dyDescent="0.45">
      <c r="B306" s="240" t="s">
        <v>1111</v>
      </c>
      <c r="C306" s="241">
        <v>32453</v>
      </c>
      <c r="D306" s="242">
        <v>1</v>
      </c>
      <c r="E306" s="256">
        <v>44270</v>
      </c>
      <c r="F306" s="264">
        <v>7221338</v>
      </c>
      <c r="H306" s="242">
        <v>1</v>
      </c>
      <c r="I306" s="245">
        <v>44270</v>
      </c>
      <c r="J306" s="242">
        <v>5</v>
      </c>
      <c r="K306" s="241"/>
      <c r="L306" s="242" t="s">
        <v>383</v>
      </c>
    </row>
    <row r="307" spans="2:12" ht="16.5" customHeight="1" x14ac:dyDescent="0.45">
      <c r="B307" s="240" t="s">
        <v>1112</v>
      </c>
      <c r="C307" s="241">
        <v>33644</v>
      </c>
      <c r="D307" s="242">
        <v>1</v>
      </c>
      <c r="E307" s="256">
        <v>44270</v>
      </c>
      <c r="F307" s="264">
        <v>4015651</v>
      </c>
      <c r="H307" s="242">
        <v>1</v>
      </c>
      <c r="I307" s="245">
        <v>44270</v>
      </c>
      <c r="J307" s="242">
        <v>5</v>
      </c>
      <c r="K307" s="241"/>
      <c r="L307" s="242" t="s">
        <v>383</v>
      </c>
    </row>
    <row r="308" spans="2:12" ht="16.5" customHeight="1" x14ac:dyDescent="0.45">
      <c r="B308" s="240" t="s">
        <v>1113</v>
      </c>
      <c r="C308" s="241">
        <v>34145</v>
      </c>
      <c r="D308" s="242">
        <v>1</v>
      </c>
      <c r="E308" s="256">
        <v>44270</v>
      </c>
      <c r="F308" s="264">
        <v>4015651</v>
      </c>
      <c r="H308" s="242">
        <v>1</v>
      </c>
      <c r="I308" s="245">
        <v>44270</v>
      </c>
      <c r="J308" s="242">
        <v>5</v>
      </c>
      <c r="K308" s="241"/>
      <c r="L308" s="242" t="s">
        <v>383</v>
      </c>
    </row>
    <row r="309" spans="2:12" ht="16.5" customHeight="1" x14ac:dyDescent="0.45">
      <c r="B309" s="240" t="s">
        <v>1114</v>
      </c>
      <c r="C309" s="241">
        <v>34494</v>
      </c>
      <c r="D309" s="242">
        <v>1</v>
      </c>
      <c r="E309" s="256">
        <v>44270</v>
      </c>
      <c r="F309" s="264">
        <v>4874594</v>
      </c>
      <c r="H309" s="242">
        <v>1</v>
      </c>
      <c r="I309" s="245">
        <v>44270</v>
      </c>
      <c r="J309" s="242">
        <v>5</v>
      </c>
      <c r="K309" s="241"/>
      <c r="L309" s="242" t="s">
        <v>383</v>
      </c>
    </row>
    <row r="310" spans="2:12" ht="16.5" customHeight="1" x14ac:dyDescent="0.45">
      <c r="B310" s="240" t="s">
        <v>1115</v>
      </c>
      <c r="C310" s="241">
        <v>29554</v>
      </c>
      <c r="D310" s="242">
        <v>1</v>
      </c>
      <c r="E310" s="256">
        <v>44291</v>
      </c>
      <c r="F310" s="264">
        <v>8195967</v>
      </c>
      <c r="H310" s="242">
        <v>1</v>
      </c>
      <c r="I310" s="245">
        <v>44291</v>
      </c>
      <c r="J310" s="242">
        <v>5</v>
      </c>
      <c r="K310" s="241"/>
      <c r="L310" s="242" t="s">
        <v>383</v>
      </c>
    </row>
    <row r="311" spans="2:12" ht="16.5" customHeight="1" x14ac:dyDescent="0.45">
      <c r="B311" s="240" t="s">
        <v>1116</v>
      </c>
      <c r="C311" s="241">
        <v>26048</v>
      </c>
      <c r="D311" s="242">
        <v>2</v>
      </c>
      <c r="E311" s="256">
        <v>44291</v>
      </c>
      <c r="F311" s="264">
        <v>4387500</v>
      </c>
      <c r="H311" s="242">
        <v>4</v>
      </c>
      <c r="I311" s="245">
        <v>44291</v>
      </c>
      <c r="J311" s="242">
        <v>5</v>
      </c>
      <c r="K311" s="241"/>
      <c r="L311" s="242" t="s">
        <v>384</v>
      </c>
    </row>
    <row r="312" spans="2:12" ht="16.5" customHeight="1" x14ac:dyDescent="0.45">
      <c r="B312" s="240" t="s">
        <v>1117</v>
      </c>
      <c r="C312" s="241">
        <v>31833</v>
      </c>
      <c r="D312" s="242">
        <v>2</v>
      </c>
      <c r="E312" s="256">
        <v>44291</v>
      </c>
      <c r="F312" s="264">
        <v>5668686</v>
      </c>
      <c r="H312" s="242">
        <v>1</v>
      </c>
      <c r="I312" s="245">
        <v>44291</v>
      </c>
      <c r="J312" s="242">
        <v>5</v>
      </c>
      <c r="K312" s="241"/>
      <c r="L312" s="242" t="s">
        <v>383</v>
      </c>
    </row>
    <row r="313" spans="2:12" ht="16.5" customHeight="1" x14ac:dyDescent="0.45">
      <c r="B313" s="240" t="s">
        <v>936</v>
      </c>
      <c r="C313" s="241">
        <v>30849</v>
      </c>
      <c r="D313" s="242">
        <v>2</v>
      </c>
      <c r="E313" s="256">
        <v>44289</v>
      </c>
      <c r="F313" s="264">
        <v>3017315</v>
      </c>
      <c r="H313" s="242">
        <v>1</v>
      </c>
      <c r="I313" s="245">
        <v>44289</v>
      </c>
      <c r="J313" s="242">
        <v>5</v>
      </c>
      <c r="K313" s="241"/>
      <c r="L313" s="242" t="s">
        <v>384</v>
      </c>
    </row>
    <row r="314" spans="2:12" ht="16.5" customHeight="1" x14ac:dyDescent="0.45">
      <c r="B314" s="240" t="s">
        <v>1118</v>
      </c>
      <c r="C314" s="241">
        <v>30791</v>
      </c>
      <c r="D314" s="242">
        <v>1</v>
      </c>
      <c r="E314" s="256">
        <v>44298</v>
      </c>
      <c r="F314" s="264">
        <v>3368601</v>
      </c>
      <c r="H314" s="242">
        <v>1</v>
      </c>
      <c r="I314" s="245">
        <v>44298</v>
      </c>
      <c r="J314" s="242">
        <v>5</v>
      </c>
      <c r="K314" s="241"/>
      <c r="L314" s="242" t="s">
        <v>384</v>
      </c>
    </row>
    <row r="315" spans="2:12" ht="16.5" customHeight="1" x14ac:dyDescent="0.45">
      <c r="B315" s="240" t="s">
        <v>1119</v>
      </c>
      <c r="C315" s="241">
        <v>29123</v>
      </c>
      <c r="D315" s="242">
        <v>1</v>
      </c>
      <c r="E315" s="256">
        <v>44305</v>
      </c>
      <c r="F315" s="264">
        <v>9360683</v>
      </c>
      <c r="H315" s="242">
        <v>1</v>
      </c>
      <c r="I315" s="245">
        <v>44305</v>
      </c>
      <c r="J315" s="242">
        <v>5</v>
      </c>
      <c r="K315" s="241"/>
      <c r="L315" s="242" t="s">
        <v>383</v>
      </c>
    </row>
    <row r="316" spans="2:12" ht="16.5" customHeight="1" x14ac:dyDescent="0.45">
      <c r="B316" s="240" t="s">
        <v>1120</v>
      </c>
      <c r="C316" s="241">
        <v>32365</v>
      </c>
      <c r="D316" s="242">
        <v>2</v>
      </c>
      <c r="E316" s="256">
        <v>44305</v>
      </c>
      <c r="F316" s="264">
        <v>6535375</v>
      </c>
      <c r="H316" s="242">
        <v>1</v>
      </c>
      <c r="I316" s="245">
        <v>44305</v>
      </c>
      <c r="J316" s="242">
        <v>5</v>
      </c>
      <c r="K316" s="241"/>
      <c r="L316" s="242" t="s">
        <v>383</v>
      </c>
    </row>
    <row r="317" spans="2:12" ht="16.5" customHeight="1" x14ac:dyDescent="0.45">
      <c r="B317" s="240" t="s">
        <v>1121</v>
      </c>
      <c r="C317" s="241">
        <v>33997</v>
      </c>
      <c r="D317" s="242">
        <v>1</v>
      </c>
      <c r="E317" s="256">
        <v>44305</v>
      </c>
      <c r="F317" s="264">
        <v>4041163</v>
      </c>
      <c r="H317" s="242">
        <v>1</v>
      </c>
      <c r="I317" s="245">
        <v>44305</v>
      </c>
      <c r="J317" s="242">
        <v>5</v>
      </c>
      <c r="K317" s="241"/>
      <c r="L317" s="242" t="s">
        <v>383</v>
      </c>
    </row>
    <row r="318" spans="2:12" ht="16.5" customHeight="1" x14ac:dyDescent="0.45">
      <c r="B318" s="240" t="s">
        <v>1122</v>
      </c>
      <c r="C318" s="241">
        <v>26544</v>
      </c>
      <c r="D318" s="242">
        <v>1</v>
      </c>
      <c r="E318" s="256">
        <v>44312</v>
      </c>
      <c r="F318" s="264">
        <v>13748333</v>
      </c>
      <c r="H318" s="242">
        <v>1</v>
      </c>
      <c r="I318" s="245">
        <v>44312</v>
      </c>
      <c r="J318" s="242">
        <v>5</v>
      </c>
      <c r="K318" s="241"/>
      <c r="L318" s="242" t="s">
        <v>386</v>
      </c>
    </row>
    <row r="319" spans="2:12" ht="16.5" customHeight="1" x14ac:dyDescent="0.45">
      <c r="B319" s="240" t="s">
        <v>1123</v>
      </c>
      <c r="C319" s="241">
        <v>29461</v>
      </c>
      <c r="D319" s="242">
        <v>2</v>
      </c>
      <c r="E319" s="256">
        <v>44319</v>
      </c>
      <c r="F319" s="264">
        <v>8996783</v>
      </c>
      <c r="H319" s="242">
        <v>1</v>
      </c>
      <c r="I319" s="245">
        <v>44319</v>
      </c>
      <c r="J319" s="242">
        <v>5</v>
      </c>
      <c r="K319" s="241"/>
      <c r="L319" s="242" t="s">
        <v>383</v>
      </c>
    </row>
    <row r="320" spans="2:12" ht="16.5" customHeight="1" x14ac:dyDescent="0.45">
      <c r="B320" s="240" t="s">
        <v>1124</v>
      </c>
      <c r="C320" s="241">
        <v>31672</v>
      </c>
      <c r="D320" s="242">
        <v>1</v>
      </c>
      <c r="E320" s="256">
        <v>44319</v>
      </c>
      <c r="F320" s="264">
        <v>6404167</v>
      </c>
      <c r="H320" s="242">
        <v>1</v>
      </c>
      <c r="I320" s="245">
        <v>44319</v>
      </c>
      <c r="J320" s="242">
        <v>5</v>
      </c>
      <c r="K320" s="241"/>
      <c r="L320" s="242" t="s">
        <v>383</v>
      </c>
    </row>
    <row r="321" spans="2:12" ht="16.5" customHeight="1" x14ac:dyDescent="0.45">
      <c r="B321" s="240" t="s">
        <v>1125</v>
      </c>
      <c r="C321" s="241">
        <v>32214</v>
      </c>
      <c r="D321" s="242">
        <v>2</v>
      </c>
      <c r="E321" s="256">
        <v>44319</v>
      </c>
      <c r="F321" s="264">
        <v>6892208</v>
      </c>
      <c r="H321" s="242">
        <v>1</v>
      </c>
      <c r="I321" s="245">
        <v>44319</v>
      </c>
      <c r="J321" s="242">
        <v>5</v>
      </c>
      <c r="K321" s="241"/>
      <c r="L321" s="242" t="s">
        <v>383</v>
      </c>
    </row>
    <row r="322" spans="2:12" ht="16.5" customHeight="1" x14ac:dyDescent="0.45">
      <c r="B322" s="240" t="s">
        <v>1126</v>
      </c>
      <c r="C322" s="241">
        <v>34752</v>
      </c>
      <c r="D322" s="242">
        <v>2</v>
      </c>
      <c r="E322" s="256">
        <v>44319</v>
      </c>
      <c r="F322" s="264">
        <v>4015651</v>
      </c>
      <c r="H322" s="242">
        <v>1</v>
      </c>
      <c r="I322" s="245">
        <v>44319</v>
      </c>
      <c r="J322" s="242">
        <v>5</v>
      </c>
      <c r="K322" s="241"/>
      <c r="L322" s="242" t="s">
        <v>383</v>
      </c>
    </row>
    <row r="323" spans="2:12" ht="16.5" customHeight="1" x14ac:dyDescent="0.45">
      <c r="B323" s="240" t="s">
        <v>1127</v>
      </c>
      <c r="C323" s="241">
        <v>26868</v>
      </c>
      <c r="D323" s="242">
        <v>1</v>
      </c>
      <c r="E323" s="256">
        <v>44326</v>
      </c>
      <c r="F323" s="264">
        <v>11725467</v>
      </c>
      <c r="H323" s="242">
        <v>1</v>
      </c>
      <c r="I323" s="245">
        <v>44326</v>
      </c>
      <c r="J323" s="242">
        <v>5</v>
      </c>
      <c r="K323" s="241"/>
      <c r="L323" s="242" t="s">
        <v>383</v>
      </c>
    </row>
    <row r="324" spans="2:12" ht="16.5" customHeight="1" x14ac:dyDescent="0.45">
      <c r="B324" s="240" t="s">
        <v>1128</v>
      </c>
      <c r="C324" s="241">
        <v>32885</v>
      </c>
      <c r="D324" s="242">
        <v>1</v>
      </c>
      <c r="E324" s="256">
        <v>44326</v>
      </c>
      <c r="F324" s="264">
        <v>5796908</v>
      </c>
      <c r="H324" s="242">
        <v>1</v>
      </c>
      <c r="I324" s="245">
        <v>44326</v>
      </c>
      <c r="J324" s="242">
        <v>5</v>
      </c>
      <c r="K324" s="241"/>
      <c r="L324" s="242" t="s">
        <v>383</v>
      </c>
    </row>
    <row r="325" spans="2:12" ht="16.5" customHeight="1" x14ac:dyDescent="0.45">
      <c r="B325" s="240" t="s">
        <v>1129</v>
      </c>
      <c r="C325" s="241">
        <v>33851</v>
      </c>
      <c r="D325" s="242">
        <v>2</v>
      </c>
      <c r="E325" s="256">
        <v>44326</v>
      </c>
      <c r="F325" s="264">
        <v>5189928</v>
      </c>
      <c r="H325" s="242">
        <v>1</v>
      </c>
      <c r="I325" s="245">
        <v>44326</v>
      </c>
      <c r="J325" s="242">
        <v>5</v>
      </c>
      <c r="K325" s="241"/>
      <c r="L325" s="242" t="s">
        <v>383</v>
      </c>
    </row>
    <row r="326" spans="2:12" ht="16.5" customHeight="1" x14ac:dyDescent="0.45">
      <c r="B326" s="240" t="s">
        <v>1130</v>
      </c>
      <c r="C326" s="241">
        <v>29374</v>
      </c>
      <c r="D326" s="242">
        <v>2</v>
      </c>
      <c r="E326" s="256">
        <v>44333</v>
      </c>
      <c r="F326" s="264">
        <v>9770550</v>
      </c>
      <c r="H326" s="242">
        <v>1</v>
      </c>
      <c r="I326" s="245">
        <v>44333</v>
      </c>
      <c r="J326" s="242">
        <v>5</v>
      </c>
      <c r="K326" s="241"/>
      <c r="L326" s="242" t="s">
        <v>383</v>
      </c>
    </row>
    <row r="327" spans="2:12" ht="16.5" customHeight="1" x14ac:dyDescent="0.45">
      <c r="B327" s="240" t="s">
        <v>1131</v>
      </c>
      <c r="C327" s="241">
        <v>28313</v>
      </c>
      <c r="D327" s="242">
        <v>1</v>
      </c>
      <c r="E327" s="256">
        <v>44333</v>
      </c>
      <c r="F327" s="264">
        <v>8908417</v>
      </c>
      <c r="H327" s="242">
        <v>1</v>
      </c>
      <c r="I327" s="245">
        <v>44333</v>
      </c>
      <c r="J327" s="242">
        <v>5</v>
      </c>
      <c r="K327" s="241"/>
      <c r="L327" s="242" t="s">
        <v>383</v>
      </c>
    </row>
    <row r="328" spans="2:12" ht="16.5" customHeight="1" x14ac:dyDescent="0.45">
      <c r="B328" s="240" t="s">
        <v>1132</v>
      </c>
      <c r="C328" s="241">
        <v>34828</v>
      </c>
      <c r="D328" s="242">
        <v>2</v>
      </c>
      <c r="E328" s="256">
        <v>44333</v>
      </c>
      <c r="F328" s="264">
        <v>3368601</v>
      </c>
      <c r="H328" s="242">
        <v>1</v>
      </c>
      <c r="I328" s="245">
        <v>44333</v>
      </c>
      <c r="J328" s="242">
        <v>5</v>
      </c>
      <c r="K328" s="241"/>
      <c r="L328" s="242" t="s">
        <v>384</v>
      </c>
    </row>
    <row r="329" spans="2:12" ht="16.5" customHeight="1" x14ac:dyDescent="0.45">
      <c r="B329" s="240" t="s">
        <v>1133</v>
      </c>
      <c r="C329" s="241">
        <v>30563</v>
      </c>
      <c r="D329" s="242">
        <v>2</v>
      </c>
      <c r="E329" s="256">
        <v>44340</v>
      </c>
      <c r="F329" s="264">
        <v>8123752</v>
      </c>
      <c r="H329" s="242">
        <v>1</v>
      </c>
      <c r="I329" s="245">
        <v>44340</v>
      </c>
      <c r="J329" s="242">
        <v>5</v>
      </c>
      <c r="K329" s="241"/>
      <c r="L329" s="242" t="s">
        <v>383</v>
      </c>
    </row>
    <row r="330" spans="2:12" ht="16.5" customHeight="1" x14ac:dyDescent="0.45">
      <c r="B330" s="240" t="s">
        <v>1134</v>
      </c>
      <c r="C330" s="241">
        <v>35852</v>
      </c>
      <c r="D330" s="242">
        <v>2</v>
      </c>
      <c r="E330" s="256">
        <v>44348</v>
      </c>
      <c r="F330" s="264">
        <v>2695833</v>
      </c>
      <c r="H330" s="242">
        <v>4</v>
      </c>
      <c r="I330" s="245">
        <v>44348</v>
      </c>
      <c r="J330" s="242">
        <v>5</v>
      </c>
      <c r="K330" s="241"/>
      <c r="L330" s="242" t="s">
        <v>384</v>
      </c>
    </row>
    <row r="331" spans="2:12" ht="16.5" customHeight="1" x14ac:dyDescent="0.45">
      <c r="B331" s="240" t="s">
        <v>1135</v>
      </c>
      <c r="C331" s="241">
        <v>33526</v>
      </c>
      <c r="D331" s="242">
        <v>2</v>
      </c>
      <c r="E331" s="256">
        <v>44348</v>
      </c>
      <c r="F331" s="264">
        <v>3368601</v>
      </c>
      <c r="H331" s="242">
        <v>1</v>
      </c>
      <c r="I331" s="245">
        <v>44348</v>
      </c>
      <c r="J331" s="242">
        <v>5</v>
      </c>
      <c r="K331" s="241"/>
      <c r="L331" s="242" t="s">
        <v>384</v>
      </c>
    </row>
    <row r="332" spans="2:12" ht="16.5" customHeight="1" x14ac:dyDescent="0.45">
      <c r="B332" s="240" t="s">
        <v>1136</v>
      </c>
      <c r="C332" s="241">
        <v>32962</v>
      </c>
      <c r="D332" s="242">
        <v>2</v>
      </c>
      <c r="E332" s="256">
        <v>44361</v>
      </c>
      <c r="F332" s="264">
        <v>7897883</v>
      </c>
      <c r="H332" s="242">
        <v>1</v>
      </c>
      <c r="I332" s="245">
        <v>44361</v>
      </c>
      <c r="J332" s="242">
        <v>5</v>
      </c>
      <c r="K332" s="241"/>
      <c r="L332" s="242" t="s">
        <v>383</v>
      </c>
    </row>
    <row r="333" spans="2:12" ht="16.5" customHeight="1" x14ac:dyDescent="0.45">
      <c r="B333" s="240" t="s">
        <v>1137</v>
      </c>
      <c r="C333" s="241">
        <v>32583</v>
      </c>
      <c r="D333" s="242">
        <v>1</v>
      </c>
      <c r="E333" s="256">
        <v>44361</v>
      </c>
      <c r="F333" s="264">
        <v>7120583</v>
      </c>
      <c r="H333" s="242">
        <v>1</v>
      </c>
      <c r="I333" s="245">
        <v>44361</v>
      </c>
      <c r="J333" s="242">
        <v>5</v>
      </c>
      <c r="K333" s="241"/>
      <c r="L333" s="242" t="s">
        <v>383</v>
      </c>
    </row>
    <row r="334" spans="2:12" ht="16.5" customHeight="1" x14ac:dyDescent="0.45">
      <c r="B334" s="240" t="s">
        <v>1138</v>
      </c>
      <c r="C334" s="241">
        <v>28709</v>
      </c>
      <c r="D334" s="242">
        <v>1</v>
      </c>
      <c r="E334" s="256">
        <v>44368</v>
      </c>
      <c r="F334" s="264">
        <v>6934405</v>
      </c>
      <c r="H334" s="242">
        <v>1</v>
      </c>
      <c r="I334" s="245">
        <v>44368</v>
      </c>
      <c r="J334" s="242">
        <v>5</v>
      </c>
      <c r="K334" s="241"/>
      <c r="L334" s="242" t="s">
        <v>385</v>
      </c>
    </row>
    <row r="335" spans="2:12" ht="16.5" customHeight="1" x14ac:dyDescent="0.45">
      <c r="B335" s="240" t="s">
        <v>1139</v>
      </c>
      <c r="C335" s="241">
        <v>34207</v>
      </c>
      <c r="D335" s="242">
        <v>2</v>
      </c>
      <c r="E335" s="256">
        <v>44368</v>
      </c>
      <c r="F335" s="264">
        <v>3368601</v>
      </c>
      <c r="H335" s="242">
        <v>1</v>
      </c>
      <c r="I335" s="245">
        <v>44368</v>
      </c>
      <c r="J335" s="242">
        <v>5</v>
      </c>
      <c r="K335" s="241"/>
      <c r="L335" s="242" t="s">
        <v>384</v>
      </c>
    </row>
    <row r="336" spans="2:12" ht="16.5" customHeight="1" x14ac:dyDescent="0.45">
      <c r="B336" s="240" t="s">
        <v>1140</v>
      </c>
      <c r="C336" s="241">
        <v>29174</v>
      </c>
      <c r="D336" s="242">
        <v>2</v>
      </c>
      <c r="E336" s="256">
        <v>44378</v>
      </c>
      <c r="F336" s="264">
        <v>14008869</v>
      </c>
      <c r="H336" s="242">
        <v>1</v>
      </c>
      <c r="I336" s="245">
        <v>44378</v>
      </c>
      <c r="J336" s="242">
        <v>5</v>
      </c>
      <c r="K336" s="241"/>
      <c r="L336" s="242" t="s">
        <v>386</v>
      </c>
    </row>
    <row r="337" spans="2:12" ht="16.5" customHeight="1" x14ac:dyDescent="0.45">
      <c r="B337" s="240" t="s">
        <v>1141</v>
      </c>
      <c r="C337" s="241">
        <v>29632</v>
      </c>
      <c r="D337" s="242">
        <v>2</v>
      </c>
      <c r="E337" s="256">
        <v>44382</v>
      </c>
      <c r="F337" s="264">
        <v>13059333</v>
      </c>
      <c r="H337" s="242">
        <v>1</v>
      </c>
      <c r="I337" s="245">
        <v>44382</v>
      </c>
      <c r="J337" s="242">
        <v>5</v>
      </c>
      <c r="K337" s="241"/>
      <c r="L337" s="242" t="s">
        <v>383</v>
      </c>
    </row>
    <row r="338" spans="2:12" ht="16.5" customHeight="1" x14ac:dyDescent="0.45">
      <c r="B338" s="240" t="s">
        <v>1142</v>
      </c>
      <c r="C338" s="241">
        <v>32917</v>
      </c>
      <c r="D338" s="242">
        <v>2</v>
      </c>
      <c r="E338" s="256">
        <v>44389</v>
      </c>
      <c r="F338" s="264">
        <v>5502946</v>
      </c>
      <c r="H338" s="242">
        <v>1</v>
      </c>
      <c r="I338" s="245">
        <v>44389</v>
      </c>
      <c r="J338" s="242">
        <v>5</v>
      </c>
      <c r="K338" s="241"/>
      <c r="L338" s="242" t="s">
        <v>383</v>
      </c>
    </row>
    <row r="339" spans="2:12" ht="16.5" customHeight="1" x14ac:dyDescent="0.45">
      <c r="B339" s="240" t="s">
        <v>1143</v>
      </c>
      <c r="C339" s="241">
        <v>29803</v>
      </c>
      <c r="D339" s="242">
        <v>1</v>
      </c>
      <c r="E339" s="256">
        <v>44396</v>
      </c>
      <c r="F339" s="264">
        <v>7619688</v>
      </c>
      <c r="H339" s="242">
        <v>1</v>
      </c>
      <c r="I339" s="245">
        <v>44396</v>
      </c>
      <c r="J339" s="242">
        <v>5</v>
      </c>
      <c r="K339" s="241"/>
      <c r="L339" s="242" t="s">
        <v>383</v>
      </c>
    </row>
    <row r="340" spans="2:12" ht="16.5" customHeight="1" x14ac:dyDescent="0.45">
      <c r="B340" s="240" t="s">
        <v>1144</v>
      </c>
      <c r="C340" s="241">
        <v>34241</v>
      </c>
      <c r="D340" s="242">
        <v>2</v>
      </c>
      <c r="E340" s="256">
        <v>44396</v>
      </c>
      <c r="F340" s="264">
        <v>2711283</v>
      </c>
      <c r="H340" s="242">
        <v>4</v>
      </c>
      <c r="I340" s="245">
        <v>44396</v>
      </c>
      <c r="J340" s="242">
        <v>5</v>
      </c>
      <c r="K340" s="241"/>
      <c r="L340" s="242" t="s">
        <v>384</v>
      </c>
    </row>
    <row r="341" spans="2:12" ht="16.5" customHeight="1" x14ac:dyDescent="0.45">
      <c r="B341" s="240" t="s">
        <v>1145</v>
      </c>
      <c r="C341" s="241">
        <v>30993</v>
      </c>
      <c r="D341" s="242">
        <v>1</v>
      </c>
      <c r="E341" s="256">
        <v>44424</v>
      </c>
      <c r="F341" s="264">
        <v>7140690</v>
      </c>
      <c r="H341" s="242">
        <v>1</v>
      </c>
      <c r="I341" s="245">
        <v>44424</v>
      </c>
      <c r="J341" s="242">
        <v>5</v>
      </c>
      <c r="K341" s="241"/>
      <c r="L341" s="242" t="s">
        <v>383</v>
      </c>
    </row>
    <row r="342" spans="2:12" ht="16.5" customHeight="1" x14ac:dyDescent="0.45">
      <c r="B342" s="240" t="s">
        <v>1146</v>
      </c>
      <c r="C342" s="241">
        <v>35735</v>
      </c>
      <c r="D342" s="242">
        <v>2</v>
      </c>
      <c r="E342" s="256">
        <v>44440</v>
      </c>
      <c r="F342" s="264">
        <v>4015651</v>
      </c>
      <c r="H342" s="242">
        <v>1</v>
      </c>
      <c r="I342" s="245">
        <v>44440</v>
      </c>
      <c r="J342" s="242">
        <v>5</v>
      </c>
      <c r="K342" s="241"/>
      <c r="L342" s="242" t="s">
        <v>383</v>
      </c>
    </row>
    <row r="343" spans="2:12" ht="16.5" customHeight="1" x14ac:dyDescent="0.45">
      <c r="B343" s="240" t="s">
        <v>1147</v>
      </c>
      <c r="C343" s="241">
        <v>35032</v>
      </c>
      <c r="D343" s="242">
        <v>2</v>
      </c>
      <c r="E343" s="256">
        <v>44440</v>
      </c>
      <c r="F343" s="264">
        <v>2819467</v>
      </c>
      <c r="H343" s="242">
        <v>4</v>
      </c>
      <c r="I343" s="245">
        <v>44440</v>
      </c>
      <c r="J343" s="242">
        <v>5</v>
      </c>
      <c r="K343" s="241"/>
      <c r="L343" s="242" t="s">
        <v>384</v>
      </c>
    </row>
    <row r="344" spans="2:12" ht="16.5" customHeight="1" x14ac:dyDescent="0.45">
      <c r="B344" s="240" t="s">
        <v>1148</v>
      </c>
      <c r="C344" s="241">
        <v>29224</v>
      </c>
      <c r="D344" s="242">
        <v>2</v>
      </c>
      <c r="E344" s="256">
        <v>44466</v>
      </c>
      <c r="F344" s="264">
        <v>5046000</v>
      </c>
      <c r="H344" s="242">
        <v>4</v>
      </c>
      <c r="I344" s="245">
        <v>44466</v>
      </c>
      <c r="J344" s="242">
        <v>5</v>
      </c>
      <c r="K344" s="241"/>
      <c r="L344" s="242" t="s">
        <v>383</v>
      </c>
    </row>
    <row r="345" spans="2:12" ht="16.5" customHeight="1" x14ac:dyDescent="0.45">
      <c r="B345" s="240" t="s">
        <v>1149</v>
      </c>
      <c r="C345" s="241">
        <v>35007</v>
      </c>
      <c r="D345" s="242">
        <v>2</v>
      </c>
      <c r="E345" s="256">
        <v>44470</v>
      </c>
      <c r="F345" s="264">
        <v>4015651</v>
      </c>
      <c r="H345" s="242">
        <v>1</v>
      </c>
      <c r="I345" s="245">
        <v>44470</v>
      </c>
      <c r="J345" s="242">
        <v>5</v>
      </c>
      <c r="K345" s="241"/>
      <c r="L345" s="242" t="s">
        <v>383</v>
      </c>
    </row>
    <row r="346" spans="2:12" ht="16.5" customHeight="1" x14ac:dyDescent="0.45">
      <c r="B346" s="240" t="s">
        <v>1150</v>
      </c>
      <c r="C346" s="241">
        <v>33241</v>
      </c>
      <c r="D346" s="242">
        <v>1</v>
      </c>
      <c r="E346" s="256">
        <v>44481</v>
      </c>
      <c r="F346" s="264">
        <v>6247684</v>
      </c>
      <c r="H346" s="242">
        <v>1</v>
      </c>
      <c r="I346" s="245">
        <v>44481</v>
      </c>
      <c r="J346" s="242">
        <v>5</v>
      </c>
      <c r="K346" s="241"/>
      <c r="L346" s="242" t="s">
        <v>383</v>
      </c>
    </row>
    <row r="347" spans="2:12" ht="16.5" customHeight="1" x14ac:dyDescent="0.45">
      <c r="B347" s="240" t="s">
        <v>1151</v>
      </c>
      <c r="C347" s="241">
        <v>34103</v>
      </c>
      <c r="D347" s="242">
        <v>2</v>
      </c>
      <c r="E347" s="256">
        <v>44508</v>
      </c>
      <c r="F347" s="264">
        <v>4743058</v>
      </c>
      <c r="H347" s="242">
        <v>1</v>
      </c>
      <c r="I347" s="245">
        <v>44508</v>
      </c>
      <c r="J347" s="242">
        <v>5</v>
      </c>
      <c r="K347" s="241"/>
      <c r="L347" s="242" t="s">
        <v>383</v>
      </c>
    </row>
    <row r="348" spans="2:12" ht="16.5" customHeight="1" x14ac:dyDescent="0.45">
      <c r="B348" s="240" t="s">
        <v>1152</v>
      </c>
      <c r="C348" s="241">
        <v>24540</v>
      </c>
      <c r="D348" s="242">
        <v>1</v>
      </c>
      <c r="E348" s="256">
        <v>44531</v>
      </c>
      <c r="F348" s="264">
        <v>15181317</v>
      </c>
      <c r="H348" s="242">
        <v>3</v>
      </c>
      <c r="I348" s="245">
        <v>44531</v>
      </c>
      <c r="J348" s="242">
        <v>5</v>
      </c>
      <c r="K348" s="241"/>
      <c r="L348" s="242" t="s">
        <v>390</v>
      </c>
    </row>
    <row r="349" spans="2:12" ht="16.5" customHeight="1" x14ac:dyDescent="0.45">
      <c r="B349" s="240" t="s">
        <v>1153</v>
      </c>
      <c r="C349" s="241">
        <v>30544</v>
      </c>
      <c r="D349" s="242">
        <v>1</v>
      </c>
      <c r="E349" s="256">
        <v>44536</v>
      </c>
      <c r="F349" s="264">
        <v>8028350</v>
      </c>
      <c r="H349" s="242">
        <v>1</v>
      </c>
      <c r="I349" s="245">
        <v>44536</v>
      </c>
      <c r="J349" s="242">
        <v>5</v>
      </c>
      <c r="K349" s="241"/>
      <c r="L349" s="242" t="s">
        <v>383</v>
      </c>
    </row>
    <row r="350" spans="2:12" ht="16.5" customHeight="1" x14ac:dyDescent="0.45">
      <c r="B350" s="240" t="s">
        <v>1154</v>
      </c>
      <c r="C350" s="241">
        <v>31238</v>
      </c>
      <c r="D350" s="242">
        <v>1</v>
      </c>
      <c r="E350" s="256">
        <v>44550</v>
      </c>
      <c r="F350" s="264">
        <v>7057798</v>
      </c>
      <c r="H350" s="242">
        <v>1</v>
      </c>
      <c r="I350" s="245">
        <v>44550</v>
      </c>
      <c r="J350" s="242">
        <v>5</v>
      </c>
      <c r="K350" s="241"/>
      <c r="L350" s="242" t="s">
        <v>383</v>
      </c>
    </row>
    <row r="351" spans="2:12" ht="16.5" customHeight="1" x14ac:dyDescent="0.45">
      <c r="B351" s="240" t="s">
        <v>1155</v>
      </c>
      <c r="C351" s="241">
        <v>29316</v>
      </c>
      <c r="D351" s="242">
        <v>2</v>
      </c>
      <c r="E351" s="256">
        <v>44550</v>
      </c>
      <c r="F351" s="264">
        <v>6180719</v>
      </c>
      <c r="H351" s="242">
        <v>1</v>
      </c>
      <c r="I351" s="245">
        <v>44550</v>
      </c>
      <c r="J351" s="242">
        <v>5</v>
      </c>
      <c r="K351" s="241"/>
      <c r="L351" s="242" t="s">
        <v>383</v>
      </c>
    </row>
    <row r="352" spans="2:12" ht="16.5" customHeight="1" x14ac:dyDescent="0.45">
      <c r="B352" s="240" t="s">
        <v>1156</v>
      </c>
      <c r="C352" s="241">
        <v>34709</v>
      </c>
      <c r="D352" s="242">
        <v>2</v>
      </c>
      <c r="E352" s="256">
        <v>44550</v>
      </c>
      <c r="F352" s="264">
        <v>2711283</v>
      </c>
      <c r="H352" s="242">
        <v>4</v>
      </c>
      <c r="I352" s="245">
        <v>44550</v>
      </c>
      <c r="J352" s="242">
        <v>5</v>
      </c>
      <c r="K352" s="241"/>
      <c r="L352" s="242" t="s">
        <v>384</v>
      </c>
    </row>
    <row r="353" spans="2:12" ht="16.5" customHeight="1" x14ac:dyDescent="0.45">
      <c r="B353" s="240" t="s">
        <v>1157</v>
      </c>
      <c r="C353" s="241">
        <v>31296</v>
      </c>
      <c r="D353" s="242">
        <v>1</v>
      </c>
      <c r="E353" s="256">
        <v>44564</v>
      </c>
      <c r="F353" s="264">
        <v>5081905</v>
      </c>
      <c r="H353" s="242">
        <v>1</v>
      </c>
      <c r="I353" s="245">
        <v>44564</v>
      </c>
      <c r="J353" s="242">
        <v>5</v>
      </c>
      <c r="K353" s="241"/>
      <c r="L353" s="242" t="s">
        <v>383</v>
      </c>
    </row>
    <row r="354" spans="2:12" ht="16.5" customHeight="1" x14ac:dyDescent="0.45">
      <c r="B354" s="240" t="s">
        <v>1158</v>
      </c>
      <c r="C354" s="241">
        <v>34893</v>
      </c>
      <c r="D354" s="242">
        <v>2</v>
      </c>
      <c r="E354" s="256">
        <v>44564</v>
      </c>
      <c r="F354" s="264">
        <v>3956759</v>
      </c>
      <c r="H354" s="242">
        <v>1</v>
      </c>
      <c r="I354" s="245">
        <v>44564</v>
      </c>
      <c r="J354" s="242">
        <v>5</v>
      </c>
      <c r="K354" s="241"/>
      <c r="L354" s="242" t="s">
        <v>383</v>
      </c>
    </row>
    <row r="355" spans="2:12" ht="16.5" customHeight="1" x14ac:dyDescent="0.45">
      <c r="B355" s="240" t="s">
        <v>1159</v>
      </c>
      <c r="C355" s="241">
        <v>29484</v>
      </c>
      <c r="D355" s="242">
        <v>1</v>
      </c>
      <c r="E355" s="256">
        <v>44564</v>
      </c>
      <c r="F355" s="264">
        <v>5503250</v>
      </c>
      <c r="H355" s="242">
        <v>4</v>
      </c>
      <c r="I355" s="245">
        <v>44564</v>
      </c>
      <c r="J355" s="242">
        <v>5</v>
      </c>
      <c r="K355" s="241"/>
      <c r="L355" s="242" t="s">
        <v>385</v>
      </c>
    </row>
    <row r="356" spans="2:12" ht="16.5" customHeight="1" x14ac:dyDescent="0.45">
      <c r="B356" s="240" t="s">
        <v>1160</v>
      </c>
      <c r="C356" s="241">
        <v>27365</v>
      </c>
      <c r="D356" s="242">
        <v>1</v>
      </c>
      <c r="E356" s="256">
        <v>44571</v>
      </c>
      <c r="F356" s="264">
        <v>13250000</v>
      </c>
      <c r="H356" s="242">
        <v>4</v>
      </c>
      <c r="I356" s="245">
        <v>44571</v>
      </c>
      <c r="J356" s="242">
        <v>5</v>
      </c>
      <c r="K356" s="241"/>
      <c r="L356" s="242" t="s">
        <v>386</v>
      </c>
    </row>
    <row r="357" spans="2:12" ht="16.5" customHeight="1" x14ac:dyDescent="0.45">
      <c r="B357" s="240" t="s">
        <v>1161</v>
      </c>
      <c r="C357" s="241">
        <v>32337</v>
      </c>
      <c r="D357" s="242">
        <v>1</v>
      </c>
      <c r="E357" s="256">
        <v>44578</v>
      </c>
      <c r="F357" s="264">
        <v>4538333</v>
      </c>
      <c r="H357" s="242">
        <v>4</v>
      </c>
      <c r="I357" s="245">
        <v>44578</v>
      </c>
      <c r="J357" s="242">
        <v>5</v>
      </c>
      <c r="K357" s="241"/>
      <c r="L357" s="242" t="s">
        <v>385</v>
      </c>
    </row>
    <row r="358" spans="2:12" ht="16.5" customHeight="1" x14ac:dyDescent="0.45">
      <c r="B358" s="240" t="s">
        <v>1162</v>
      </c>
      <c r="C358" s="241">
        <v>32147</v>
      </c>
      <c r="D358" s="242">
        <v>1</v>
      </c>
      <c r="E358" s="256">
        <v>44585</v>
      </c>
      <c r="F358" s="264">
        <v>3416700</v>
      </c>
      <c r="H358" s="242">
        <v>4</v>
      </c>
      <c r="I358" s="245">
        <v>44585</v>
      </c>
      <c r="J358" s="242">
        <v>5</v>
      </c>
      <c r="K358" s="241"/>
      <c r="L358" s="242" t="s">
        <v>384</v>
      </c>
    </row>
    <row r="359" spans="2:12" ht="16.5" customHeight="1" x14ac:dyDescent="0.45">
      <c r="B359" s="240" t="s">
        <v>1163</v>
      </c>
      <c r="C359" s="241">
        <v>26505</v>
      </c>
      <c r="D359" s="242">
        <v>1</v>
      </c>
      <c r="E359" s="256">
        <v>44595</v>
      </c>
      <c r="F359" s="264">
        <v>6294167</v>
      </c>
      <c r="H359" s="242">
        <v>4</v>
      </c>
      <c r="I359" s="245">
        <v>44595</v>
      </c>
      <c r="J359" s="242">
        <v>5</v>
      </c>
      <c r="K359" s="241"/>
      <c r="L359" s="242" t="s">
        <v>385</v>
      </c>
    </row>
    <row r="360" spans="2:12" ht="16.5" customHeight="1" x14ac:dyDescent="0.45">
      <c r="B360" s="240" t="s">
        <v>1164</v>
      </c>
      <c r="C360" s="241">
        <v>35079</v>
      </c>
      <c r="D360" s="242">
        <v>1</v>
      </c>
      <c r="E360" s="256">
        <v>44599</v>
      </c>
      <c r="F360" s="264">
        <v>3956759</v>
      </c>
      <c r="H360" s="242">
        <v>1</v>
      </c>
      <c r="I360" s="245">
        <v>44599</v>
      </c>
      <c r="J360" s="242">
        <v>5</v>
      </c>
      <c r="K360" s="241"/>
      <c r="L360" s="242" t="s">
        <v>383</v>
      </c>
    </row>
    <row r="361" spans="2:12" ht="16.5" customHeight="1" x14ac:dyDescent="0.45">
      <c r="B361" s="240" t="s">
        <v>1165</v>
      </c>
      <c r="C361" s="241">
        <v>28736</v>
      </c>
      <c r="D361" s="242">
        <v>1</v>
      </c>
      <c r="E361" s="256">
        <v>44606</v>
      </c>
      <c r="F361" s="264">
        <v>9690026</v>
      </c>
      <c r="H361" s="242">
        <v>1</v>
      </c>
      <c r="I361" s="245">
        <v>44606</v>
      </c>
      <c r="J361" s="242">
        <v>5</v>
      </c>
      <c r="K361" s="241"/>
      <c r="L361" s="242" t="s">
        <v>383</v>
      </c>
    </row>
    <row r="362" spans="2:12" ht="16.5" customHeight="1" x14ac:dyDescent="0.45">
      <c r="B362" s="240" t="s">
        <v>1166</v>
      </c>
      <c r="C362" s="241">
        <v>26303</v>
      </c>
      <c r="D362" s="242">
        <v>2</v>
      </c>
      <c r="E362" s="256">
        <v>44606</v>
      </c>
      <c r="F362" s="264">
        <v>5545417</v>
      </c>
      <c r="H362" s="242">
        <v>4</v>
      </c>
      <c r="I362" s="245">
        <v>44606</v>
      </c>
      <c r="J362" s="242">
        <v>5</v>
      </c>
      <c r="K362" s="241"/>
      <c r="L362" s="242" t="s">
        <v>383</v>
      </c>
    </row>
    <row r="363" spans="2:12" ht="16.5" customHeight="1" x14ac:dyDescent="0.45">
      <c r="B363" s="240" t="s">
        <v>1167</v>
      </c>
      <c r="C363" s="241">
        <v>32171</v>
      </c>
      <c r="D363" s="242">
        <v>1</v>
      </c>
      <c r="E363" s="256">
        <v>44606</v>
      </c>
      <c r="F363" s="264">
        <v>5154539</v>
      </c>
      <c r="H363" s="242">
        <v>4</v>
      </c>
      <c r="I363" s="245">
        <v>44606</v>
      </c>
      <c r="J363" s="242">
        <v>5</v>
      </c>
      <c r="K363" s="241"/>
      <c r="L363" s="242" t="s">
        <v>383</v>
      </c>
    </row>
    <row r="364" spans="2:12" ht="16.5" customHeight="1" x14ac:dyDescent="0.45">
      <c r="B364" s="240" t="s">
        <v>1168</v>
      </c>
      <c r="C364" s="241">
        <v>33886</v>
      </c>
      <c r="D364" s="242">
        <v>2</v>
      </c>
      <c r="E364" s="256">
        <v>44606</v>
      </c>
      <c r="F364" s="264">
        <v>4723333</v>
      </c>
      <c r="H364" s="242">
        <v>4</v>
      </c>
      <c r="I364" s="245">
        <v>44606</v>
      </c>
      <c r="J364" s="242">
        <v>5</v>
      </c>
      <c r="K364" s="241"/>
      <c r="L364" s="242" t="s">
        <v>383</v>
      </c>
    </row>
    <row r="365" spans="2:12" ht="16.5" customHeight="1" x14ac:dyDescent="0.45">
      <c r="B365" s="240" t="s">
        <v>1169</v>
      </c>
      <c r="C365" s="241">
        <v>28914</v>
      </c>
      <c r="D365" s="242">
        <v>2</v>
      </c>
      <c r="E365" s="256">
        <v>44606</v>
      </c>
      <c r="F365" s="264">
        <v>7190533</v>
      </c>
      <c r="H365" s="242">
        <v>4</v>
      </c>
      <c r="I365" s="245">
        <v>44606</v>
      </c>
      <c r="J365" s="242">
        <v>5</v>
      </c>
      <c r="K365" s="241"/>
      <c r="L365" s="242" t="s">
        <v>383</v>
      </c>
    </row>
    <row r="366" spans="2:12" ht="16.5" customHeight="1" x14ac:dyDescent="0.45">
      <c r="B366" s="240" t="s">
        <v>1170</v>
      </c>
      <c r="C366" s="241">
        <v>31477</v>
      </c>
      <c r="D366" s="242">
        <v>2</v>
      </c>
      <c r="E366" s="256">
        <v>44613</v>
      </c>
      <c r="F366" s="264">
        <v>5847633</v>
      </c>
      <c r="H366" s="242">
        <v>4</v>
      </c>
      <c r="I366" s="245">
        <v>44613</v>
      </c>
      <c r="J366" s="242">
        <v>5</v>
      </c>
      <c r="K366" s="241"/>
      <c r="L366" s="242" t="s">
        <v>383</v>
      </c>
    </row>
    <row r="367" spans="2:12" ht="16.5" customHeight="1" x14ac:dyDescent="0.45">
      <c r="B367" s="240" t="s">
        <v>1171</v>
      </c>
      <c r="C367" s="241">
        <v>35720</v>
      </c>
      <c r="D367" s="242">
        <v>2</v>
      </c>
      <c r="E367" s="256">
        <v>44613</v>
      </c>
      <c r="F367" s="264">
        <v>3956759</v>
      </c>
      <c r="H367" s="242">
        <v>1</v>
      </c>
      <c r="I367" s="245">
        <v>44613</v>
      </c>
      <c r="J367" s="242">
        <v>5</v>
      </c>
      <c r="K367" s="241"/>
      <c r="L367" s="242" t="s">
        <v>383</v>
      </c>
    </row>
    <row r="368" spans="2:12" ht="16.5" customHeight="1" x14ac:dyDescent="0.45">
      <c r="B368" s="240" t="s">
        <v>1172</v>
      </c>
      <c r="C368" s="241">
        <v>34867</v>
      </c>
      <c r="D368" s="242">
        <v>1</v>
      </c>
      <c r="E368" s="256">
        <v>44613</v>
      </c>
      <c r="F368" s="264">
        <v>3956759</v>
      </c>
      <c r="H368" s="242">
        <v>1</v>
      </c>
      <c r="I368" s="245">
        <v>44613</v>
      </c>
      <c r="J368" s="242">
        <v>5</v>
      </c>
      <c r="K368" s="241"/>
      <c r="L368" s="242" t="s">
        <v>383</v>
      </c>
    </row>
    <row r="369" spans="1:12" ht="16.5" customHeight="1" x14ac:dyDescent="0.45">
      <c r="B369" s="240" t="s">
        <v>1173</v>
      </c>
      <c r="C369" s="241">
        <v>26211</v>
      </c>
      <c r="D369" s="242">
        <v>1</v>
      </c>
      <c r="E369" s="256">
        <v>44622</v>
      </c>
      <c r="F369" s="264">
        <v>6200000</v>
      </c>
      <c r="H369" s="242">
        <v>4</v>
      </c>
      <c r="I369" s="245">
        <v>44622</v>
      </c>
      <c r="J369" s="242">
        <v>5</v>
      </c>
      <c r="K369" s="241"/>
      <c r="L369" s="242" t="s">
        <v>385</v>
      </c>
    </row>
    <row r="370" spans="1:12" ht="16.5" customHeight="1" x14ac:dyDescent="0.45">
      <c r="B370" s="240" t="s">
        <v>1174</v>
      </c>
      <c r="C370" s="241">
        <v>29216</v>
      </c>
      <c r="D370" s="242">
        <v>2</v>
      </c>
      <c r="E370" s="256">
        <v>44622</v>
      </c>
      <c r="F370" s="264">
        <v>7950000</v>
      </c>
      <c r="H370" s="242">
        <v>1</v>
      </c>
      <c r="I370" s="245">
        <v>44622</v>
      </c>
      <c r="J370" s="242">
        <v>5</v>
      </c>
      <c r="K370" s="241"/>
      <c r="L370" s="242" t="s">
        <v>383</v>
      </c>
    </row>
    <row r="371" spans="1:12" ht="16.5" customHeight="1" x14ac:dyDescent="0.45">
      <c r="B371" s="240" t="s">
        <v>1175</v>
      </c>
      <c r="C371" s="241">
        <v>30230</v>
      </c>
      <c r="D371" s="242">
        <v>2</v>
      </c>
      <c r="E371" s="256">
        <v>44634</v>
      </c>
      <c r="F371" s="264">
        <v>5168425</v>
      </c>
      <c r="H371" s="242">
        <v>4</v>
      </c>
      <c r="I371" s="245">
        <v>44634</v>
      </c>
      <c r="J371" s="242">
        <v>5</v>
      </c>
      <c r="K371" s="241"/>
      <c r="L371" s="242" t="s">
        <v>383</v>
      </c>
    </row>
    <row r="372" spans="1:12" ht="16.5" customHeight="1" x14ac:dyDescent="0.45">
      <c r="B372" s="240" t="s">
        <v>1176</v>
      </c>
      <c r="C372" s="241">
        <v>34176</v>
      </c>
      <c r="D372" s="242">
        <v>2</v>
      </c>
      <c r="E372" s="256">
        <v>44634</v>
      </c>
      <c r="F372" s="264">
        <v>2819467</v>
      </c>
      <c r="H372" s="242">
        <v>4</v>
      </c>
      <c r="I372" s="245">
        <v>44634</v>
      </c>
      <c r="J372" s="242">
        <v>5</v>
      </c>
      <c r="K372" s="241"/>
      <c r="L372" s="242" t="s">
        <v>384</v>
      </c>
    </row>
    <row r="373" spans="1:12" ht="16.5" customHeight="1" x14ac:dyDescent="0.45">
      <c r="B373" s="240" t="s">
        <v>1177</v>
      </c>
      <c r="C373" s="241">
        <v>31887</v>
      </c>
      <c r="D373" s="242">
        <v>1</v>
      </c>
      <c r="E373" s="256">
        <v>44652</v>
      </c>
      <c r="F373" s="264">
        <v>5750000</v>
      </c>
      <c r="H373" s="242">
        <v>4</v>
      </c>
      <c r="I373" s="245">
        <v>44652</v>
      </c>
      <c r="J373" s="242">
        <v>5</v>
      </c>
      <c r="K373" s="241"/>
      <c r="L373" s="242" t="s">
        <v>383</v>
      </c>
    </row>
    <row r="374" spans="1:12" ht="16.5" customHeight="1" x14ac:dyDescent="0.45">
      <c r="B374" s="240" t="s">
        <v>1178</v>
      </c>
      <c r="C374" s="241">
        <v>25743</v>
      </c>
      <c r="D374" s="242">
        <v>1</v>
      </c>
      <c r="E374" s="256">
        <v>44652</v>
      </c>
      <c r="F374" s="264">
        <v>6250000</v>
      </c>
      <c r="H374" s="242">
        <v>4</v>
      </c>
      <c r="I374" s="245">
        <v>44652</v>
      </c>
      <c r="J374" s="242">
        <v>5</v>
      </c>
      <c r="K374" s="241"/>
      <c r="L374" s="242" t="s">
        <v>383</v>
      </c>
    </row>
    <row r="375" spans="1:12" ht="16.5" customHeight="1" x14ac:dyDescent="0.45">
      <c r="B375" s="240" t="s">
        <v>1179</v>
      </c>
      <c r="C375" s="241">
        <v>28711</v>
      </c>
      <c r="D375" s="242">
        <v>1</v>
      </c>
      <c r="E375" s="256">
        <v>44669</v>
      </c>
      <c r="F375" s="264">
        <v>9633667</v>
      </c>
      <c r="H375" s="242">
        <v>1</v>
      </c>
      <c r="I375" s="245">
        <v>44669</v>
      </c>
      <c r="J375" s="242">
        <v>5</v>
      </c>
      <c r="K375" s="241"/>
      <c r="L375" s="242" t="s">
        <v>383</v>
      </c>
    </row>
    <row r="376" spans="1:12" ht="16.5" customHeight="1" x14ac:dyDescent="0.45">
      <c r="B376" s="240" t="s">
        <v>1180</v>
      </c>
      <c r="C376" s="241">
        <v>29021</v>
      </c>
      <c r="D376" s="242">
        <v>2</v>
      </c>
      <c r="E376" s="256">
        <v>44669</v>
      </c>
      <c r="F376" s="264">
        <v>6388571</v>
      </c>
      <c r="H376" s="242">
        <v>4</v>
      </c>
      <c r="I376" s="245">
        <v>44669</v>
      </c>
      <c r="J376" s="242">
        <v>5</v>
      </c>
      <c r="K376" s="241"/>
      <c r="L376" s="242" t="s">
        <v>383</v>
      </c>
    </row>
    <row r="377" spans="1:12" ht="16.5" customHeight="1" x14ac:dyDescent="0.45">
      <c r="B377" s="240" t="s">
        <v>1181</v>
      </c>
      <c r="C377" s="241">
        <v>26396</v>
      </c>
      <c r="D377" s="242">
        <v>2</v>
      </c>
      <c r="E377" s="256">
        <v>44669</v>
      </c>
      <c r="F377" s="264">
        <v>5262500</v>
      </c>
      <c r="H377" s="242">
        <v>4</v>
      </c>
      <c r="I377" s="245">
        <v>44669</v>
      </c>
      <c r="J377" s="242">
        <v>5</v>
      </c>
      <c r="K377" s="241"/>
      <c r="L377" s="242" t="s">
        <v>385</v>
      </c>
    </row>
    <row r="378" spans="1:12" ht="16.5" customHeight="1" x14ac:dyDescent="0.45">
      <c r="B378" s="240" t="s">
        <v>1182</v>
      </c>
      <c r="C378" s="241">
        <v>31164</v>
      </c>
      <c r="D378" s="242">
        <v>1</v>
      </c>
      <c r="E378" s="256">
        <v>44669</v>
      </c>
      <c r="F378" s="264">
        <v>4723333</v>
      </c>
      <c r="H378" s="242">
        <v>4</v>
      </c>
      <c r="I378" s="245">
        <v>44669</v>
      </c>
      <c r="J378" s="242">
        <v>5</v>
      </c>
      <c r="K378" s="241"/>
      <c r="L378" s="242" t="s">
        <v>383</v>
      </c>
    </row>
    <row r="379" spans="1:12" ht="16.5" customHeight="1" x14ac:dyDescent="0.45">
      <c r="B379" s="240" t="s">
        <v>1183</v>
      </c>
      <c r="C379" s="241">
        <v>33707</v>
      </c>
      <c r="D379" s="242">
        <v>2</v>
      </c>
      <c r="E379" s="256">
        <v>44669</v>
      </c>
      <c r="F379" s="264">
        <v>2879467</v>
      </c>
      <c r="H379" s="242">
        <v>4</v>
      </c>
      <c r="I379" s="245">
        <v>44669</v>
      </c>
      <c r="J379" s="242">
        <v>5</v>
      </c>
      <c r="K379" s="241"/>
      <c r="L379" s="242" t="s">
        <v>384</v>
      </c>
    </row>
    <row r="380" spans="1:12" ht="16.5" customHeight="1" x14ac:dyDescent="0.45">
      <c r="B380" s="240" t="s">
        <v>1184</v>
      </c>
      <c r="C380" s="241">
        <v>30814</v>
      </c>
      <c r="D380" s="242">
        <v>2</v>
      </c>
      <c r="E380" s="256">
        <v>44676</v>
      </c>
      <c r="F380" s="264">
        <v>9089500</v>
      </c>
      <c r="H380" s="242">
        <v>1</v>
      </c>
      <c r="I380" s="245">
        <v>44676</v>
      </c>
      <c r="J380" s="242">
        <v>5</v>
      </c>
      <c r="K380" s="241"/>
      <c r="L380" s="242" t="s">
        <v>383</v>
      </c>
    </row>
    <row r="381" spans="1:12" ht="16.5" customHeight="1" x14ac:dyDescent="0.45">
      <c r="A381" s="273"/>
      <c r="B381" s="240" t="s">
        <v>1185</v>
      </c>
      <c r="C381" s="241">
        <v>26559</v>
      </c>
      <c r="D381" s="242">
        <v>2</v>
      </c>
      <c r="E381" s="256">
        <v>44683</v>
      </c>
      <c r="F381" s="264">
        <v>8333333</v>
      </c>
      <c r="H381" s="242">
        <v>4</v>
      </c>
      <c r="I381" s="245">
        <v>44683</v>
      </c>
      <c r="J381" s="242">
        <v>5</v>
      </c>
      <c r="K381" s="241"/>
      <c r="L381" s="242" t="s">
        <v>383</v>
      </c>
    </row>
    <row r="382" spans="1:12" ht="16.5" customHeight="1" x14ac:dyDescent="0.45">
      <c r="A382" s="273"/>
      <c r="B382" s="240" t="s">
        <v>1186</v>
      </c>
      <c r="C382" s="241">
        <v>29755</v>
      </c>
      <c r="D382" s="242">
        <v>2</v>
      </c>
      <c r="E382" s="256">
        <v>44683</v>
      </c>
      <c r="F382" s="264">
        <v>2833333</v>
      </c>
      <c r="H382" s="242">
        <v>4</v>
      </c>
      <c r="I382" s="245">
        <v>44683</v>
      </c>
      <c r="J382" s="242">
        <v>5</v>
      </c>
      <c r="K382" s="241"/>
      <c r="L382" s="242" t="s">
        <v>384</v>
      </c>
    </row>
    <row r="383" spans="1:12" ht="16.5" customHeight="1" x14ac:dyDescent="0.45">
      <c r="A383" s="273"/>
      <c r="B383" s="240" t="s">
        <v>1187</v>
      </c>
      <c r="C383" s="241">
        <v>35352</v>
      </c>
      <c r="D383" s="242">
        <v>2</v>
      </c>
      <c r="E383" s="256">
        <v>44704</v>
      </c>
      <c r="F383" s="264">
        <v>2750000</v>
      </c>
      <c r="H383" s="242">
        <v>4</v>
      </c>
      <c r="I383" s="245">
        <v>44704</v>
      </c>
      <c r="J383" s="242">
        <v>5</v>
      </c>
      <c r="K383" s="241"/>
      <c r="L383" s="242" t="s">
        <v>384</v>
      </c>
    </row>
    <row r="384" spans="1:12" ht="16.5" customHeight="1" x14ac:dyDescent="0.45">
      <c r="A384" s="273"/>
      <c r="B384" s="240" t="s">
        <v>1188</v>
      </c>
      <c r="C384" s="241">
        <v>32853</v>
      </c>
      <c r="D384" s="242">
        <v>2</v>
      </c>
      <c r="E384" s="256">
        <v>44714</v>
      </c>
      <c r="F384" s="264">
        <v>3300000</v>
      </c>
      <c r="H384" s="242">
        <v>4</v>
      </c>
      <c r="I384" s="245">
        <v>44714</v>
      </c>
      <c r="J384" s="242">
        <v>5</v>
      </c>
      <c r="K384" s="241"/>
      <c r="L384" s="242" t="s">
        <v>384</v>
      </c>
    </row>
    <row r="385" spans="1:12" ht="16.5" customHeight="1" x14ac:dyDescent="0.45">
      <c r="A385" s="273"/>
      <c r="B385" s="240" t="s">
        <v>1189</v>
      </c>
      <c r="C385" s="241">
        <v>35747</v>
      </c>
      <c r="D385" s="242">
        <v>2</v>
      </c>
      <c r="E385" s="256">
        <v>44714</v>
      </c>
      <c r="F385" s="264">
        <v>3956759</v>
      </c>
      <c r="H385" s="242">
        <v>1</v>
      </c>
      <c r="I385" s="274">
        <v>44714</v>
      </c>
      <c r="J385" s="242">
        <v>5</v>
      </c>
      <c r="K385" s="241"/>
      <c r="L385" s="242" t="s">
        <v>383</v>
      </c>
    </row>
    <row r="386" spans="1:12" ht="16.5" customHeight="1" x14ac:dyDescent="0.45">
      <c r="A386" s="273"/>
      <c r="B386" s="240" t="s">
        <v>1190</v>
      </c>
      <c r="C386" s="241">
        <v>30347</v>
      </c>
      <c r="D386" s="242">
        <v>1</v>
      </c>
      <c r="E386" s="256">
        <v>44725</v>
      </c>
      <c r="F386" s="264">
        <v>8480000</v>
      </c>
      <c r="H386" s="242">
        <v>1</v>
      </c>
      <c r="I386" s="245">
        <v>44725</v>
      </c>
      <c r="J386" s="242">
        <v>5</v>
      </c>
      <c r="K386" s="241"/>
      <c r="L386" s="242" t="s">
        <v>383</v>
      </c>
    </row>
    <row r="387" spans="1:12" ht="16.5" customHeight="1" x14ac:dyDescent="0.45">
      <c r="A387" s="273"/>
      <c r="B387" s="240" t="s">
        <v>1191</v>
      </c>
      <c r="C387" s="241">
        <v>31826</v>
      </c>
      <c r="D387" s="242">
        <v>1</v>
      </c>
      <c r="E387" s="256">
        <v>44725</v>
      </c>
      <c r="F387" s="264">
        <v>5966387</v>
      </c>
      <c r="H387" s="242">
        <v>1</v>
      </c>
      <c r="I387" s="245">
        <v>44725</v>
      </c>
      <c r="J387" s="242">
        <v>5</v>
      </c>
      <c r="K387" s="241"/>
      <c r="L387" s="242" t="s">
        <v>383</v>
      </c>
    </row>
    <row r="388" spans="1:12" ht="16.5" customHeight="1" x14ac:dyDescent="0.45">
      <c r="A388" s="273"/>
      <c r="B388" s="240" t="s">
        <v>1192</v>
      </c>
      <c r="C388" s="241">
        <v>29988</v>
      </c>
      <c r="D388" s="242">
        <v>1</v>
      </c>
      <c r="E388" s="256">
        <v>44725</v>
      </c>
      <c r="F388" s="264">
        <v>7460000</v>
      </c>
      <c r="H388" s="242">
        <v>4</v>
      </c>
      <c r="I388" s="245">
        <v>44725</v>
      </c>
      <c r="J388" s="242">
        <v>5</v>
      </c>
      <c r="K388" s="241"/>
      <c r="L388" s="242" t="s">
        <v>383</v>
      </c>
    </row>
    <row r="389" spans="1:12" ht="16.5" customHeight="1" x14ac:dyDescent="0.45">
      <c r="A389" s="273"/>
      <c r="B389" s="240" t="s">
        <v>1193</v>
      </c>
      <c r="C389" s="241">
        <v>28440</v>
      </c>
      <c r="D389" s="242">
        <v>1</v>
      </c>
      <c r="E389" s="256">
        <v>44725</v>
      </c>
      <c r="F389" s="264">
        <v>5262500</v>
      </c>
      <c r="H389" s="242">
        <v>4</v>
      </c>
      <c r="I389" s="245">
        <v>44725</v>
      </c>
      <c r="J389" s="242">
        <v>5</v>
      </c>
      <c r="K389" s="241"/>
      <c r="L389" s="242" t="s">
        <v>385</v>
      </c>
    </row>
    <row r="390" spans="1:12" ht="16.5" customHeight="1" x14ac:dyDescent="0.45">
      <c r="A390" s="273"/>
      <c r="B390" s="240" t="s">
        <v>1194</v>
      </c>
      <c r="C390" s="241">
        <v>33200</v>
      </c>
      <c r="D390" s="242">
        <v>2</v>
      </c>
      <c r="E390" s="256">
        <v>44725</v>
      </c>
      <c r="F390" s="264">
        <v>5545417</v>
      </c>
      <c r="H390" s="242">
        <v>4</v>
      </c>
      <c r="I390" s="245">
        <v>44725</v>
      </c>
      <c r="J390" s="242">
        <v>5</v>
      </c>
      <c r="K390" s="241"/>
      <c r="L390" s="242" t="s">
        <v>383</v>
      </c>
    </row>
    <row r="391" spans="1:12" ht="16.5" customHeight="1" x14ac:dyDescent="0.45">
      <c r="A391" s="273"/>
      <c r="B391" s="240" t="s">
        <v>1195</v>
      </c>
      <c r="C391" s="241">
        <v>29390</v>
      </c>
      <c r="D391" s="242">
        <v>1</v>
      </c>
      <c r="E391" s="256">
        <v>44732</v>
      </c>
      <c r="F391" s="264">
        <v>8743333</v>
      </c>
      <c r="H391" s="242">
        <v>1</v>
      </c>
      <c r="I391" s="245">
        <v>44732</v>
      </c>
      <c r="J391" s="242">
        <v>5</v>
      </c>
      <c r="K391" s="241"/>
      <c r="L391" s="242" t="s">
        <v>383</v>
      </c>
    </row>
    <row r="392" spans="1:12" ht="16.5" customHeight="1" x14ac:dyDescent="0.45">
      <c r="A392" s="273"/>
      <c r="B392" s="240" t="s">
        <v>1196</v>
      </c>
      <c r="C392" s="241">
        <v>35362</v>
      </c>
      <c r="D392" s="242">
        <v>2</v>
      </c>
      <c r="E392" s="256">
        <v>44732</v>
      </c>
      <c r="F392" s="264">
        <v>3956759</v>
      </c>
      <c r="H392" s="242">
        <v>1</v>
      </c>
      <c r="I392" s="245">
        <v>44732</v>
      </c>
      <c r="J392" s="242">
        <v>5</v>
      </c>
      <c r="K392" s="241"/>
      <c r="L392" s="242" t="s">
        <v>383</v>
      </c>
    </row>
    <row r="393" spans="1:12" ht="16.5" customHeight="1" x14ac:dyDescent="0.45">
      <c r="A393" s="273"/>
      <c r="B393" s="240" t="s">
        <v>1197</v>
      </c>
      <c r="C393" s="241">
        <v>35873</v>
      </c>
      <c r="D393" s="242">
        <v>2</v>
      </c>
      <c r="E393" s="256">
        <v>44732</v>
      </c>
      <c r="F393" s="264">
        <v>2879467</v>
      </c>
      <c r="H393" s="242">
        <v>4</v>
      </c>
      <c r="I393" s="245">
        <v>44732</v>
      </c>
      <c r="J393" s="242">
        <v>5</v>
      </c>
      <c r="K393" s="241"/>
      <c r="L393" s="242" t="s">
        <v>384</v>
      </c>
    </row>
    <row r="394" spans="1:12" ht="16.5" customHeight="1" x14ac:dyDescent="0.45">
      <c r="A394" s="273"/>
      <c r="B394" s="240" t="s">
        <v>1198</v>
      </c>
      <c r="C394" s="241">
        <v>30321</v>
      </c>
      <c r="D394" s="242">
        <v>2</v>
      </c>
      <c r="E394" s="256">
        <v>44743</v>
      </c>
      <c r="F394" s="264">
        <v>7950000</v>
      </c>
      <c r="H394" s="242">
        <v>1</v>
      </c>
      <c r="I394" s="245">
        <v>44743</v>
      </c>
      <c r="J394" s="242">
        <v>5</v>
      </c>
      <c r="K394" s="241"/>
      <c r="L394" s="242" t="s">
        <v>383</v>
      </c>
    </row>
    <row r="395" spans="1:12" ht="16.5" customHeight="1" x14ac:dyDescent="0.45">
      <c r="A395" s="273"/>
      <c r="B395" s="240" t="s">
        <v>1199</v>
      </c>
      <c r="C395" s="241">
        <v>34278</v>
      </c>
      <c r="D395" s="242">
        <v>2</v>
      </c>
      <c r="E395" s="256">
        <v>44743</v>
      </c>
      <c r="F395" s="264">
        <v>4250000</v>
      </c>
      <c r="H395" s="242">
        <v>4</v>
      </c>
      <c r="I395" s="245">
        <v>44743</v>
      </c>
      <c r="J395" s="242">
        <v>5</v>
      </c>
      <c r="K395" s="241"/>
      <c r="L395" s="242" t="s">
        <v>383</v>
      </c>
    </row>
    <row r="396" spans="1:12" ht="16.5" customHeight="1" x14ac:dyDescent="0.45">
      <c r="A396" s="273"/>
      <c r="B396" s="240" t="s">
        <v>1200</v>
      </c>
      <c r="C396" s="241">
        <v>33458</v>
      </c>
      <c r="D396" s="242">
        <v>2</v>
      </c>
      <c r="E396" s="256">
        <v>44743</v>
      </c>
      <c r="F396" s="264">
        <v>11091318.083333334</v>
      </c>
      <c r="H396" s="242">
        <v>4</v>
      </c>
      <c r="I396" s="245">
        <v>44743</v>
      </c>
      <c r="J396" s="242">
        <v>5</v>
      </c>
      <c r="K396" s="241"/>
      <c r="L396" s="242" t="s">
        <v>383</v>
      </c>
    </row>
    <row r="397" spans="1:12" ht="16.5" customHeight="1" x14ac:dyDescent="0.45">
      <c r="A397" s="273"/>
      <c r="B397" s="240" t="s">
        <v>1201</v>
      </c>
      <c r="C397" s="241">
        <v>34902</v>
      </c>
      <c r="D397" s="242">
        <v>2</v>
      </c>
      <c r="E397" s="256">
        <v>44743</v>
      </c>
      <c r="F397" s="264">
        <v>3177925</v>
      </c>
      <c r="H397" s="242">
        <v>4</v>
      </c>
      <c r="I397" s="245">
        <v>44743</v>
      </c>
      <c r="J397" s="242">
        <v>5</v>
      </c>
      <c r="K397" s="241"/>
      <c r="L397" s="242" t="s">
        <v>383</v>
      </c>
    </row>
    <row r="398" spans="1:12" ht="16.5" customHeight="1" x14ac:dyDescent="0.45">
      <c r="A398" s="273"/>
      <c r="B398" s="240" t="s">
        <v>1202</v>
      </c>
      <c r="C398" s="241">
        <v>34690</v>
      </c>
      <c r="D398" s="242">
        <v>2</v>
      </c>
      <c r="E398" s="256">
        <v>44743</v>
      </c>
      <c r="F398" s="264">
        <v>2879467</v>
      </c>
      <c r="H398" s="242">
        <v>4</v>
      </c>
      <c r="I398" s="245">
        <v>44743</v>
      </c>
      <c r="J398" s="242">
        <v>5</v>
      </c>
      <c r="K398" s="241"/>
      <c r="L398" s="242" t="s">
        <v>384</v>
      </c>
    </row>
    <row r="399" spans="1:12" ht="16.5" customHeight="1" x14ac:dyDescent="0.45">
      <c r="A399" s="273"/>
      <c r="B399" s="240" t="s">
        <v>1203</v>
      </c>
      <c r="C399" s="241">
        <v>34331</v>
      </c>
      <c r="D399" s="242">
        <v>2</v>
      </c>
      <c r="E399" s="256">
        <v>44760</v>
      </c>
      <c r="F399" s="264">
        <v>5798002</v>
      </c>
      <c r="H399" s="242">
        <v>4</v>
      </c>
      <c r="I399" s="245">
        <v>44760</v>
      </c>
      <c r="J399" s="242">
        <v>5</v>
      </c>
      <c r="K399" s="241"/>
      <c r="L399" s="242" t="s">
        <v>383</v>
      </c>
    </row>
    <row r="400" spans="1:12" ht="16.5" customHeight="1" x14ac:dyDescent="0.45">
      <c r="A400" s="273"/>
      <c r="B400" s="240" t="s">
        <v>1204</v>
      </c>
      <c r="C400" s="241">
        <v>29415</v>
      </c>
      <c r="D400" s="242">
        <v>2</v>
      </c>
      <c r="E400" s="256">
        <v>44760</v>
      </c>
      <c r="F400" s="264">
        <v>2750000</v>
      </c>
      <c r="H400" s="242">
        <v>4</v>
      </c>
      <c r="I400" s="245">
        <v>44760</v>
      </c>
      <c r="J400" s="242">
        <v>5</v>
      </c>
      <c r="K400" s="241"/>
      <c r="L400" s="242" t="s">
        <v>384</v>
      </c>
    </row>
    <row r="401" spans="1:12" ht="16.5" customHeight="1" x14ac:dyDescent="0.45">
      <c r="A401" s="273"/>
      <c r="B401" s="240" t="s">
        <v>1205</v>
      </c>
      <c r="C401" s="241">
        <v>32103</v>
      </c>
      <c r="D401" s="242">
        <v>1</v>
      </c>
      <c r="E401" s="256">
        <v>44767</v>
      </c>
      <c r="F401" s="264">
        <v>6883333</v>
      </c>
      <c r="H401" s="242">
        <v>1</v>
      </c>
      <c r="I401" s="245">
        <v>44767</v>
      </c>
      <c r="J401" s="242">
        <v>5</v>
      </c>
      <c r="K401" s="241"/>
      <c r="L401" s="242" t="s">
        <v>383</v>
      </c>
    </row>
    <row r="402" spans="1:12" ht="16.5" customHeight="1" x14ac:dyDescent="0.45">
      <c r="A402" s="273"/>
      <c r="B402" s="240" t="s">
        <v>1206</v>
      </c>
      <c r="C402" s="241">
        <v>31099</v>
      </c>
      <c r="D402" s="242">
        <v>2</v>
      </c>
      <c r="E402" s="256">
        <v>44774</v>
      </c>
      <c r="F402" s="264">
        <v>5545417</v>
      </c>
      <c r="H402" s="242">
        <v>4</v>
      </c>
      <c r="I402" s="245">
        <v>44774</v>
      </c>
      <c r="J402" s="242">
        <v>5</v>
      </c>
      <c r="K402" s="241"/>
      <c r="L402" s="242" t="s">
        <v>383</v>
      </c>
    </row>
    <row r="403" spans="1:12" ht="16.5" customHeight="1" x14ac:dyDescent="0.45">
      <c r="A403" s="273"/>
      <c r="B403" s="240" t="s">
        <v>1207</v>
      </c>
      <c r="C403" s="241">
        <v>34666</v>
      </c>
      <c r="D403" s="242">
        <v>2</v>
      </c>
      <c r="E403" s="256">
        <v>44774</v>
      </c>
      <c r="F403" s="264">
        <v>3525833</v>
      </c>
      <c r="H403" s="242">
        <v>4</v>
      </c>
      <c r="I403" s="245">
        <v>44774</v>
      </c>
      <c r="J403" s="242">
        <v>5</v>
      </c>
      <c r="K403" s="241"/>
      <c r="L403" s="242" t="s">
        <v>383</v>
      </c>
    </row>
    <row r="404" spans="1:12" ht="16.5" customHeight="1" x14ac:dyDescent="0.45">
      <c r="A404" s="273"/>
      <c r="B404" s="240" t="s">
        <v>1208</v>
      </c>
      <c r="C404" s="241">
        <v>32263</v>
      </c>
      <c r="D404" s="242">
        <v>2</v>
      </c>
      <c r="E404" s="256">
        <v>44778</v>
      </c>
      <c r="F404" s="264">
        <v>2711283</v>
      </c>
      <c r="H404" s="242">
        <v>4</v>
      </c>
      <c r="I404" s="245">
        <v>44778</v>
      </c>
      <c r="J404" s="242">
        <v>5</v>
      </c>
      <c r="K404" s="241"/>
      <c r="L404" s="242" t="s">
        <v>384</v>
      </c>
    </row>
    <row r="405" spans="1:12" ht="16.5" customHeight="1" x14ac:dyDescent="0.45">
      <c r="A405" s="273"/>
      <c r="B405" s="240" t="s">
        <v>1209</v>
      </c>
      <c r="C405" s="241">
        <v>34587</v>
      </c>
      <c r="D405" s="242">
        <v>2</v>
      </c>
      <c r="E405" s="256">
        <v>44783</v>
      </c>
      <c r="F405" s="264">
        <v>4166667</v>
      </c>
      <c r="H405" s="242">
        <v>4</v>
      </c>
      <c r="I405" s="245">
        <v>44783</v>
      </c>
      <c r="J405" s="242">
        <v>5</v>
      </c>
      <c r="K405" s="241"/>
      <c r="L405" s="242" t="s">
        <v>384</v>
      </c>
    </row>
    <row r="406" spans="1:12" ht="16.5" customHeight="1" x14ac:dyDescent="0.45">
      <c r="A406" s="273"/>
      <c r="B406" s="240" t="s">
        <v>1210</v>
      </c>
      <c r="C406" s="241">
        <v>29380</v>
      </c>
      <c r="D406" s="242">
        <v>1</v>
      </c>
      <c r="E406" s="256">
        <v>44805</v>
      </c>
      <c r="F406" s="264">
        <v>10027292</v>
      </c>
      <c r="H406" s="242">
        <v>1</v>
      </c>
      <c r="I406" s="245">
        <v>44805</v>
      </c>
      <c r="J406" s="242">
        <v>5</v>
      </c>
      <c r="K406" s="241"/>
      <c r="L406" s="242" t="s">
        <v>383</v>
      </c>
    </row>
    <row r="407" spans="1:12" ht="16.5" customHeight="1" x14ac:dyDescent="0.45">
      <c r="A407" s="273"/>
      <c r="B407" s="240" t="s">
        <v>1211</v>
      </c>
      <c r="C407" s="241">
        <v>33808</v>
      </c>
      <c r="D407" s="242">
        <v>2</v>
      </c>
      <c r="E407" s="256">
        <v>44805</v>
      </c>
      <c r="F407" s="264">
        <v>2711283</v>
      </c>
      <c r="H407" s="242">
        <v>4</v>
      </c>
      <c r="I407" s="245">
        <v>44805</v>
      </c>
      <c r="J407" s="242">
        <v>5</v>
      </c>
      <c r="K407" s="241"/>
      <c r="L407" s="242" t="s">
        <v>384</v>
      </c>
    </row>
    <row r="408" spans="1:12" ht="16.5" customHeight="1" x14ac:dyDescent="0.45">
      <c r="A408" s="273"/>
      <c r="B408" s="240" t="s">
        <v>1212</v>
      </c>
      <c r="C408" s="241">
        <v>29248</v>
      </c>
      <c r="D408" s="242">
        <v>1</v>
      </c>
      <c r="E408" s="256">
        <v>44809</v>
      </c>
      <c r="F408" s="264">
        <v>4000000</v>
      </c>
      <c r="H408" s="242">
        <v>4</v>
      </c>
      <c r="I408" s="245">
        <v>44809</v>
      </c>
      <c r="J408" s="242">
        <v>5</v>
      </c>
      <c r="K408" s="241"/>
      <c r="L408" s="242" t="s">
        <v>385</v>
      </c>
    </row>
    <row r="409" spans="1:12" ht="16.5" customHeight="1" x14ac:dyDescent="0.45">
      <c r="A409" s="273"/>
      <c r="B409" s="240" t="s">
        <v>1213</v>
      </c>
      <c r="C409" s="241">
        <v>33493</v>
      </c>
      <c r="D409" s="242">
        <v>1</v>
      </c>
      <c r="E409" s="256">
        <v>44817</v>
      </c>
      <c r="F409" s="264">
        <v>5000000</v>
      </c>
      <c r="H409" s="242">
        <v>4</v>
      </c>
      <c r="I409" s="245">
        <v>44817</v>
      </c>
      <c r="J409" s="242">
        <v>5</v>
      </c>
      <c r="K409" s="241"/>
      <c r="L409" s="242" t="s">
        <v>383</v>
      </c>
    </row>
    <row r="410" spans="1:12" ht="16.5" customHeight="1" x14ac:dyDescent="0.45">
      <c r="A410" s="273"/>
      <c r="B410" s="240" t="s">
        <v>1214</v>
      </c>
      <c r="C410" s="241">
        <v>31989</v>
      </c>
      <c r="D410" s="242">
        <v>1</v>
      </c>
      <c r="E410" s="256">
        <v>44823</v>
      </c>
      <c r="F410" s="264">
        <v>6625000</v>
      </c>
      <c r="H410" s="242">
        <v>1</v>
      </c>
      <c r="I410" s="245">
        <v>44823</v>
      </c>
      <c r="J410" s="242">
        <v>5</v>
      </c>
      <c r="K410" s="241"/>
      <c r="L410" s="242" t="s">
        <v>383</v>
      </c>
    </row>
    <row r="411" spans="1:12" ht="16.5" customHeight="1" x14ac:dyDescent="0.45">
      <c r="A411" s="273"/>
      <c r="B411" s="240" t="s">
        <v>1215</v>
      </c>
      <c r="C411" s="241">
        <v>32952</v>
      </c>
      <c r="D411" s="242">
        <v>1</v>
      </c>
      <c r="E411" s="256">
        <v>44823</v>
      </c>
      <c r="F411" s="264">
        <v>5204745</v>
      </c>
      <c r="H411" s="242">
        <v>4</v>
      </c>
      <c r="I411" s="245">
        <v>44823</v>
      </c>
      <c r="J411" s="242">
        <v>5</v>
      </c>
      <c r="K411" s="241"/>
      <c r="L411" s="242" t="s">
        <v>383</v>
      </c>
    </row>
    <row r="412" spans="1:12" ht="16.5" customHeight="1" x14ac:dyDescent="0.45">
      <c r="A412" s="273"/>
      <c r="B412" s="240" t="s">
        <v>1216</v>
      </c>
      <c r="C412" s="241">
        <v>33332</v>
      </c>
      <c r="D412" s="242">
        <v>1</v>
      </c>
      <c r="E412" s="256">
        <v>44823</v>
      </c>
      <c r="F412" s="264">
        <v>3755000</v>
      </c>
      <c r="H412" s="242">
        <v>4</v>
      </c>
      <c r="I412" s="245">
        <v>44823</v>
      </c>
      <c r="J412" s="242">
        <v>5</v>
      </c>
      <c r="K412" s="241"/>
      <c r="L412" s="242" t="s">
        <v>383</v>
      </c>
    </row>
    <row r="413" spans="1:12" ht="16.5" customHeight="1" x14ac:dyDescent="0.45">
      <c r="A413" s="273"/>
      <c r="B413" s="240" t="s">
        <v>1217</v>
      </c>
      <c r="C413" s="241">
        <v>35678</v>
      </c>
      <c r="D413" s="242">
        <v>2</v>
      </c>
      <c r="E413" s="256">
        <v>44830</v>
      </c>
      <c r="F413" s="264">
        <v>3000000</v>
      </c>
      <c r="H413" s="242">
        <v>4</v>
      </c>
      <c r="I413" s="245">
        <v>44830</v>
      </c>
      <c r="J413" s="242">
        <v>5</v>
      </c>
      <c r="K413" s="241"/>
      <c r="L413" s="242" t="s">
        <v>384</v>
      </c>
    </row>
    <row r="414" spans="1:12" ht="16.5" customHeight="1" x14ac:dyDescent="0.45">
      <c r="A414" s="273"/>
      <c r="B414" s="240" t="s">
        <v>1218</v>
      </c>
      <c r="C414" s="241">
        <v>35916</v>
      </c>
      <c r="D414" s="242">
        <v>2</v>
      </c>
      <c r="E414" s="256">
        <v>44830</v>
      </c>
      <c r="F414" s="264">
        <v>2836740</v>
      </c>
      <c r="H414" s="242">
        <v>4</v>
      </c>
      <c r="I414" s="245">
        <v>44830</v>
      </c>
      <c r="J414" s="242">
        <v>5</v>
      </c>
      <c r="K414" s="241"/>
      <c r="L414" s="242" t="s">
        <v>383</v>
      </c>
    </row>
    <row r="415" spans="1:12" ht="16.5" customHeight="1" x14ac:dyDescent="0.45">
      <c r="A415" s="273"/>
      <c r="B415" s="240" t="s">
        <v>1219</v>
      </c>
      <c r="C415" s="241">
        <v>32561</v>
      </c>
      <c r="D415" s="242">
        <v>2</v>
      </c>
      <c r="E415" s="256">
        <v>44845</v>
      </c>
      <c r="F415" s="264">
        <v>6448333</v>
      </c>
      <c r="H415" s="242">
        <v>1</v>
      </c>
      <c r="I415" s="245">
        <v>44845</v>
      </c>
      <c r="J415" s="242">
        <v>5</v>
      </c>
      <c r="K415" s="241"/>
      <c r="L415" s="242" t="s">
        <v>383</v>
      </c>
    </row>
    <row r="416" spans="1:12" ht="16.5" customHeight="1" x14ac:dyDescent="0.45">
      <c r="A416" s="273"/>
      <c r="B416" s="240" t="s">
        <v>1220</v>
      </c>
      <c r="C416" s="241">
        <v>28984</v>
      </c>
      <c r="D416" s="242">
        <v>2</v>
      </c>
      <c r="E416" s="256">
        <v>44845</v>
      </c>
      <c r="F416" s="264">
        <v>5185000</v>
      </c>
      <c r="H416" s="242">
        <v>4</v>
      </c>
      <c r="I416" s="245">
        <v>44845</v>
      </c>
      <c r="J416" s="242">
        <v>5</v>
      </c>
      <c r="K416" s="241"/>
      <c r="L416" s="242" t="s">
        <v>383</v>
      </c>
    </row>
    <row r="417" spans="1:12" ht="16.5" customHeight="1" x14ac:dyDescent="0.45">
      <c r="A417" s="273"/>
      <c r="B417" s="240" t="s">
        <v>1221</v>
      </c>
      <c r="C417" s="241">
        <v>34717</v>
      </c>
      <c r="D417" s="242">
        <v>1</v>
      </c>
      <c r="E417" s="256">
        <v>44845</v>
      </c>
      <c r="F417" s="264">
        <v>3441741</v>
      </c>
      <c r="H417" s="242">
        <v>4</v>
      </c>
      <c r="I417" s="245">
        <v>44845</v>
      </c>
      <c r="J417" s="242">
        <v>5</v>
      </c>
      <c r="K417" s="241"/>
      <c r="L417" s="242" t="s">
        <v>384</v>
      </c>
    </row>
    <row r="418" spans="1:12" ht="16.5" customHeight="1" x14ac:dyDescent="0.45">
      <c r="A418" s="273"/>
      <c r="B418" s="240" t="s">
        <v>1222</v>
      </c>
      <c r="C418" s="241">
        <v>35714</v>
      </c>
      <c r="D418" s="242">
        <v>2</v>
      </c>
      <c r="E418" s="256">
        <v>44851</v>
      </c>
      <c r="F418" s="264">
        <v>2943649</v>
      </c>
      <c r="H418" s="242">
        <v>4</v>
      </c>
      <c r="I418" s="245">
        <v>44851</v>
      </c>
      <c r="J418" s="242">
        <v>5</v>
      </c>
      <c r="K418" s="241"/>
      <c r="L418" s="242" t="s">
        <v>384</v>
      </c>
    </row>
    <row r="419" spans="1:12" ht="16.5" customHeight="1" x14ac:dyDescent="0.45">
      <c r="A419" s="273"/>
      <c r="B419" s="240" t="s">
        <v>1223</v>
      </c>
      <c r="C419" s="241">
        <v>33558</v>
      </c>
      <c r="D419" s="242">
        <v>2</v>
      </c>
      <c r="E419" s="256">
        <v>44851</v>
      </c>
      <c r="F419" s="264">
        <v>5000000</v>
      </c>
      <c r="H419" s="242">
        <v>4</v>
      </c>
      <c r="I419" s="245">
        <v>44851</v>
      </c>
      <c r="J419" s="242">
        <v>5</v>
      </c>
      <c r="K419" s="241"/>
      <c r="L419" s="242" t="s">
        <v>383</v>
      </c>
    </row>
    <row r="420" spans="1:12" ht="16.5" customHeight="1" x14ac:dyDescent="0.45">
      <c r="A420" s="273"/>
      <c r="B420" s="240" t="s">
        <v>1224</v>
      </c>
      <c r="C420" s="241">
        <v>34779</v>
      </c>
      <c r="D420" s="242">
        <v>2</v>
      </c>
      <c r="E420" s="256">
        <v>44851</v>
      </c>
      <c r="F420" s="264">
        <v>2819500</v>
      </c>
      <c r="H420" s="242">
        <v>4</v>
      </c>
      <c r="I420" s="245">
        <v>44851</v>
      </c>
      <c r="J420" s="242">
        <v>5</v>
      </c>
      <c r="K420" s="241"/>
      <c r="L420" s="242" t="s">
        <v>384</v>
      </c>
    </row>
    <row r="421" spans="1:12" ht="16.5" customHeight="1" x14ac:dyDescent="0.45">
      <c r="A421" s="273"/>
      <c r="B421" s="240" t="s">
        <v>1225</v>
      </c>
      <c r="C421" s="241">
        <v>28395</v>
      </c>
      <c r="D421" s="242">
        <v>2</v>
      </c>
      <c r="E421" s="256">
        <v>44866</v>
      </c>
      <c r="F421" s="264">
        <v>7950000</v>
      </c>
      <c r="H421" s="242">
        <v>1</v>
      </c>
      <c r="I421" s="245">
        <v>44866</v>
      </c>
      <c r="J421" s="242">
        <v>5</v>
      </c>
      <c r="K421" s="241"/>
      <c r="L421" s="242" t="s">
        <v>383</v>
      </c>
    </row>
    <row r="422" spans="1:12" ht="16.5" customHeight="1" x14ac:dyDescent="0.45">
      <c r="A422" s="273"/>
      <c r="B422" s="240" t="s">
        <v>1226</v>
      </c>
      <c r="C422" s="241">
        <v>32674</v>
      </c>
      <c r="D422" s="242">
        <v>1</v>
      </c>
      <c r="E422" s="256">
        <v>44866</v>
      </c>
      <c r="F422" s="264">
        <v>5731950</v>
      </c>
      <c r="H422" s="242">
        <v>1</v>
      </c>
      <c r="I422" s="245">
        <v>44866</v>
      </c>
      <c r="J422" s="242">
        <v>5</v>
      </c>
      <c r="K422" s="241"/>
      <c r="L422" s="242" t="s">
        <v>383</v>
      </c>
    </row>
    <row r="423" spans="1:12" ht="16.5" customHeight="1" x14ac:dyDescent="0.45">
      <c r="A423" s="273"/>
      <c r="B423" s="240" t="s">
        <v>1227</v>
      </c>
      <c r="C423" s="241">
        <v>31398</v>
      </c>
      <c r="D423" s="242">
        <v>1</v>
      </c>
      <c r="E423" s="256">
        <v>44872</v>
      </c>
      <c r="F423" s="264">
        <v>7501667</v>
      </c>
      <c r="H423" s="242">
        <v>1</v>
      </c>
      <c r="I423" s="245">
        <v>44872</v>
      </c>
      <c r="J423" s="242">
        <v>5</v>
      </c>
      <c r="K423" s="241"/>
      <c r="L423" s="242" t="s">
        <v>383</v>
      </c>
    </row>
    <row r="424" spans="1:12" ht="16.5" customHeight="1" x14ac:dyDescent="0.45">
      <c r="A424" s="273"/>
      <c r="B424" s="240" t="s">
        <v>1228</v>
      </c>
      <c r="C424" s="241">
        <v>32166</v>
      </c>
      <c r="D424" s="242">
        <v>2</v>
      </c>
      <c r="E424" s="256">
        <v>44879</v>
      </c>
      <c r="F424" s="264">
        <v>4168617</v>
      </c>
      <c r="H424" s="242">
        <v>4</v>
      </c>
      <c r="I424" s="245">
        <v>44879</v>
      </c>
      <c r="J424" s="242">
        <v>5</v>
      </c>
      <c r="K424" s="241"/>
      <c r="L424" s="242" t="s">
        <v>384</v>
      </c>
    </row>
    <row r="425" spans="1:12" ht="16.5" customHeight="1" x14ac:dyDescent="0.45">
      <c r="A425" s="273"/>
      <c r="B425" s="240" t="s">
        <v>1229</v>
      </c>
      <c r="C425" s="241">
        <v>34724</v>
      </c>
      <c r="D425" s="242">
        <v>2</v>
      </c>
      <c r="E425" s="256">
        <v>44879</v>
      </c>
      <c r="F425" s="264">
        <v>4016119</v>
      </c>
      <c r="H425" s="242">
        <v>1</v>
      </c>
      <c r="I425" s="245">
        <v>44879</v>
      </c>
      <c r="J425" s="242">
        <v>5</v>
      </c>
      <c r="K425" s="241"/>
      <c r="L425" s="242" t="s">
        <v>383</v>
      </c>
    </row>
    <row r="426" spans="1:12" ht="16.5" customHeight="1" x14ac:dyDescent="0.45">
      <c r="B426" s="240" t="s">
        <v>1230</v>
      </c>
      <c r="C426" s="241">
        <v>31646</v>
      </c>
      <c r="D426" s="242">
        <v>1</v>
      </c>
      <c r="E426" s="256">
        <v>44886</v>
      </c>
      <c r="F426" s="264">
        <v>6801667</v>
      </c>
      <c r="H426" s="242">
        <v>1</v>
      </c>
      <c r="I426" s="245">
        <v>44886</v>
      </c>
      <c r="J426" s="242">
        <v>5</v>
      </c>
      <c r="K426" s="241"/>
      <c r="L426" s="242" t="s">
        <v>383</v>
      </c>
    </row>
    <row r="427" spans="1:12" ht="16.5" customHeight="1" x14ac:dyDescent="0.45">
      <c r="A427" s="273"/>
      <c r="B427" s="240" t="s">
        <v>1231</v>
      </c>
      <c r="C427" s="241">
        <v>30696</v>
      </c>
      <c r="D427" s="242">
        <v>1</v>
      </c>
      <c r="E427" s="256">
        <v>44886</v>
      </c>
      <c r="F427" s="264">
        <v>5083333</v>
      </c>
      <c r="H427" s="242">
        <v>4</v>
      </c>
      <c r="I427" s="245">
        <v>44886</v>
      </c>
      <c r="J427" s="242">
        <v>5</v>
      </c>
      <c r="K427" s="241"/>
      <c r="L427" s="242" t="s">
        <v>383</v>
      </c>
    </row>
    <row r="428" spans="1:12" ht="16.5" customHeight="1" x14ac:dyDescent="0.45">
      <c r="B428" s="240" t="s">
        <v>1232</v>
      </c>
      <c r="C428" s="241">
        <v>35034</v>
      </c>
      <c r="D428" s="242">
        <v>2</v>
      </c>
      <c r="E428" s="256">
        <v>44886</v>
      </c>
      <c r="F428" s="264">
        <v>4076363</v>
      </c>
      <c r="H428" s="242">
        <v>1</v>
      </c>
      <c r="I428" s="245">
        <v>44886</v>
      </c>
      <c r="J428" s="242">
        <v>5</v>
      </c>
      <c r="K428" s="241"/>
      <c r="L428" s="242" t="s">
        <v>383</v>
      </c>
    </row>
    <row r="429" spans="1:12" ht="16.5" customHeight="1" x14ac:dyDescent="0.45">
      <c r="A429" s="273"/>
      <c r="B429" s="240" t="s">
        <v>1233</v>
      </c>
      <c r="C429" s="241">
        <v>35258</v>
      </c>
      <c r="D429" s="242">
        <v>1</v>
      </c>
      <c r="E429" s="256">
        <v>44886</v>
      </c>
      <c r="F429" s="264">
        <v>3956759</v>
      </c>
      <c r="H429" s="242">
        <v>1</v>
      </c>
      <c r="I429" s="245">
        <v>44886</v>
      </c>
      <c r="J429" s="242">
        <v>5</v>
      </c>
      <c r="K429" s="241"/>
      <c r="L429" s="242" t="s">
        <v>383</v>
      </c>
    </row>
    <row r="430" spans="1:12" ht="16.5" customHeight="1" x14ac:dyDescent="0.45">
      <c r="A430" s="273"/>
      <c r="B430" s="240" t="s">
        <v>1234</v>
      </c>
      <c r="C430" s="241">
        <v>36157</v>
      </c>
      <c r="D430" s="242">
        <v>2</v>
      </c>
      <c r="E430" s="256">
        <v>44886</v>
      </c>
      <c r="F430" s="264">
        <v>3956759</v>
      </c>
      <c r="H430" s="242">
        <v>1</v>
      </c>
      <c r="I430" s="245">
        <v>44886</v>
      </c>
      <c r="J430" s="242">
        <v>5</v>
      </c>
      <c r="K430" s="241"/>
      <c r="L430" s="242" t="s">
        <v>383</v>
      </c>
    </row>
    <row r="431" spans="1:12" ht="16.5" customHeight="1" x14ac:dyDescent="0.45">
      <c r="B431" s="240" t="s">
        <v>1235</v>
      </c>
      <c r="C431" s="241">
        <v>28792</v>
      </c>
      <c r="D431" s="242">
        <v>1</v>
      </c>
      <c r="E431" s="256">
        <v>44896</v>
      </c>
      <c r="F431" s="264">
        <v>9096667</v>
      </c>
      <c r="H431" s="242">
        <v>1</v>
      </c>
      <c r="I431" s="245">
        <v>44896</v>
      </c>
      <c r="J431" s="242">
        <v>5</v>
      </c>
      <c r="K431" s="241"/>
      <c r="L431" s="242" t="s">
        <v>383</v>
      </c>
    </row>
    <row r="432" spans="1:12" ht="16.5" customHeight="1" x14ac:dyDescent="0.45">
      <c r="B432" s="240" t="s">
        <v>1236</v>
      </c>
      <c r="C432" s="241">
        <v>29224</v>
      </c>
      <c r="D432" s="242">
        <v>1</v>
      </c>
      <c r="E432" s="256">
        <v>44896</v>
      </c>
      <c r="F432" s="264">
        <v>7685000</v>
      </c>
      <c r="H432" s="242">
        <v>1</v>
      </c>
      <c r="I432" s="245">
        <v>44896</v>
      </c>
      <c r="J432" s="242">
        <v>5</v>
      </c>
      <c r="K432" s="241"/>
      <c r="L432" s="242" t="s">
        <v>383</v>
      </c>
    </row>
    <row r="433" spans="2:14" ht="16.5" customHeight="1" x14ac:dyDescent="0.45">
      <c r="B433" s="240" t="s">
        <v>1237</v>
      </c>
      <c r="C433" s="241">
        <v>28382</v>
      </c>
      <c r="D433" s="242">
        <v>1</v>
      </c>
      <c r="E433" s="256">
        <v>44914</v>
      </c>
      <c r="F433" s="264">
        <v>7685000</v>
      </c>
      <c r="H433" s="242">
        <v>1</v>
      </c>
      <c r="I433" s="245">
        <v>44914</v>
      </c>
      <c r="J433" s="242">
        <v>5</v>
      </c>
      <c r="K433" s="241"/>
      <c r="L433" s="242" t="s">
        <v>383</v>
      </c>
    </row>
    <row r="434" spans="2:14" ht="16.5" customHeight="1" x14ac:dyDescent="0.45">
      <c r="B434" s="240" t="s">
        <v>1238</v>
      </c>
      <c r="C434" s="241">
        <v>24607</v>
      </c>
      <c r="D434" s="242">
        <v>2</v>
      </c>
      <c r="E434" s="256">
        <v>44914</v>
      </c>
      <c r="F434" s="264">
        <v>6500000</v>
      </c>
      <c r="H434" s="242">
        <v>4</v>
      </c>
      <c r="I434" s="245">
        <v>44914</v>
      </c>
      <c r="J434" s="242">
        <v>5</v>
      </c>
      <c r="K434" s="241"/>
      <c r="L434" s="242" t="s">
        <v>383</v>
      </c>
    </row>
    <row r="435" spans="2:14" ht="16.5" customHeight="1" x14ac:dyDescent="0.45">
      <c r="B435" s="240" t="s">
        <v>1239</v>
      </c>
      <c r="C435" s="241">
        <v>34071</v>
      </c>
      <c r="D435" s="242">
        <v>2</v>
      </c>
      <c r="E435" s="256">
        <v>44914</v>
      </c>
      <c r="F435" s="264">
        <v>3166667</v>
      </c>
      <c r="H435" s="242">
        <v>4</v>
      </c>
      <c r="I435" s="245">
        <v>44914</v>
      </c>
      <c r="J435" s="242">
        <v>5</v>
      </c>
      <c r="K435" s="241"/>
      <c r="L435" s="242" t="s">
        <v>384</v>
      </c>
    </row>
    <row r="436" spans="2:14" ht="16.5" customHeight="1" x14ac:dyDescent="0.45">
      <c r="B436" s="240" t="s">
        <v>1240</v>
      </c>
      <c r="C436" s="241">
        <v>29404</v>
      </c>
      <c r="D436" s="242">
        <v>2</v>
      </c>
      <c r="E436" s="256">
        <v>44921</v>
      </c>
      <c r="F436" s="264">
        <v>6826223</v>
      </c>
      <c r="H436" s="242">
        <v>1</v>
      </c>
      <c r="I436" s="245">
        <v>44921</v>
      </c>
      <c r="J436" s="242">
        <v>5</v>
      </c>
      <c r="K436" s="241"/>
      <c r="L436" s="242" t="s">
        <v>383</v>
      </c>
    </row>
    <row r="437" spans="2:14" ht="16.5" customHeight="1" x14ac:dyDescent="0.45">
      <c r="B437" s="240" t="s">
        <v>1241</v>
      </c>
      <c r="C437" s="241">
        <v>27397</v>
      </c>
      <c r="D437" s="242">
        <v>1</v>
      </c>
      <c r="E437" s="256">
        <v>44921</v>
      </c>
      <c r="F437" s="264">
        <v>5833333</v>
      </c>
      <c r="H437" s="242">
        <v>4</v>
      </c>
      <c r="I437" s="245">
        <v>44921</v>
      </c>
      <c r="J437" s="242">
        <v>5</v>
      </c>
      <c r="K437" s="241"/>
      <c r="L437" s="242" t="s">
        <v>383</v>
      </c>
    </row>
    <row r="438" spans="2:14" ht="16.5" customHeight="1" x14ac:dyDescent="0.45">
      <c r="B438" s="240" t="s">
        <v>1242</v>
      </c>
      <c r="C438" s="241">
        <v>31070</v>
      </c>
      <c r="D438" s="242">
        <v>1</v>
      </c>
      <c r="E438" s="256">
        <v>44921</v>
      </c>
      <c r="F438" s="264">
        <v>6625000</v>
      </c>
      <c r="H438" s="242">
        <v>1</v>
      </c>
      <c r="I438" s="245">
        <v>44921</v>
      </c>
      <c r="J438" s="242">
        <v>5</v>
      </c>
      <c r="K438" s="241"/>
      <c r="L438" s="242" t="s">
        <v>383</v>
      </c>
    </row>
    <row r="439" spans="2:14" ht="16.5" customHeight="1" x14ac:dyDescent="0.45">
      <c r="B439" s="240" t="s">
        <v>1243</v>
      </c>
      <c r="C439" s="241">
        <v>32944</v>
      </c>
      <c r="D439" s="242">
        <v>1</v>
      </c>
      <c r="E439" s="256">
        <v>44921</v>
      </c>
      <c r="F439" s="264">
        <v>6095000</v>
      </c>
      <c r="H439" s="242">
        <v>1</v>
      </c>
      <c r="I439" s="245">
        <v>44921</v>
      </c>
      <c r="J439" s="242">
        <v>5</v>
      </c>
      <c r="K439" s="241"/>
      <c r="L439" s="242" t="s">
        <v>383</v>
      </c>
    </row>
    <row r="440" spans="2:14" ht="16.5" customHeight="1" x14ac:dyDescent="0.45">
      <c r="B440" s="240" t="s">
        <v>1244</v>
      </c>
      <c r="C440" s="241">
        <v>27202</v>
      </c>
      <c r="D440" s="242">
        <v>2</v>
      </c>
      <c r="E440" s="256">
        <v>37424</v>
      </c>
      <c r="F440" s="243">
        <v>13291598.333333334</v>
      </c>
      <c r="G440" s="264">
        <f>4676260+3185000</f>
        <v>7861260</v>
      </c>
      <c r="H440" s="242">
        <v>1</v>
      </c>
      <c r="I440" s="245">
        <v>40452</v>
      </c>
      <c r="J440" s="242">
        <v>5</v>
      </c>
      <c r="K440" s="241"/>
      <c r="L440" s="242" t="s">
        <v>388</v>
      </c>
      <c r="M440" s="242" t="s">
        <v>379</v>
      </c>
    </row>
    <row r="441" spans="2:14" ht="16.5" customHeight="1" x14ac:dyDescent="0.45">
      <c r="B441" s="240" t="s">
        <v>1245</v>
      </c>
      <c r="C441" s="241">
        <v>25574</v>
      </c>
      <c r="D441" s="242">
        <v>1</v>
      </c>
      <c r="E441" s="256">
        <v>34736</v>
      </c>
      <c r="F441" s="243">
        <v>23333340</v>
      </c>
      <c r="H441" s="242">
        <v>3</v>
      </c>
      <c r="I441" s="245">
        <v>43355</v>
      </c>
      <c r="J441" s="242">
        <v>5</v>
      </c>
      <c r="K441" s="241"/>
      <c r="L441" s="242" t="s">
        <v>386</v>
      </c>
    </row>
    <row r="442" spans="2:14" ht="16.5" customHeight="1" x14ac:dyDescent="0.45">
      <c r="B442" s="240" t="s">
        <v>1246</v>
      </c>
      <c r="C442" s="241">
        <v>26795</v>
      </c>
      <c r="D442" s="242">
        <v>1</v>
      </c>
      <c r="E442" s="256">
        <v>39741</v>
      </c>
      <c r="F442" s="243">
        <v>9940025.833333334</v>
      </c>
      <c r="H442" s="242">
        <v>1</v>
      </c>
      <c r="I442" s="245">
        <v>39741</v>
      </c>
      <c r="J442" s="242">
        <v>5</v>
      </c>
      <c r="K442" s="241"/>
      <c r="L442" s="242" t="s">
        <v>383</v>
      </c>
    </row>
    <row r="443" spans="2:14" ht="16.5" customHeight="1" x14ac:dyDescent="0.45">
      <c r="B443" s="240" t="s">
        <v>1247</v>
      </c>
      <c r="C443" s="241">
        <v>24122</v>
      </c>
      <c r="D443" s="242">
        <v>1</v>
      </c>
      <c r="E443" s="256">
        <v>43003</v>
      </c>
      <c r="F443" s="264">
        <v>10513871.666666666</v>
      </c>
      <c r="H443" s="242">
        <v>1</v>
      </c>
      <c r="I443" s="245"/>
      <c r="J443" s="242">
        <v>5</v>
      </c>
      <c r="K443" s="241"/>
      <c r="L443" s="242" t="s">
        <v>383</v>
      </c>
      <c r="N443" s="242" t="s">
        <v>382</v>
      </c>
    </row>
  </sheetData>
  <autoFilter ref="A1:N443" xr:uid="{00000000-0009-0000-0000-000005000000}">
    <sortState xmlns:xlrd2="http://schemas.microsoft.com/office/spreadsheetml/2017/richdata2" ref="A2:N443">
      <sortCondition ref="B1:B443"/>
    </sortState>
  </autoFilter>
  <phoneticPr fontId="3" type="noConversion"/>
  <pageMargins left="0.43307086614173229" right="0.27559055118110237" top="0.51181102362204722" bottom="0.74803149606299213" header="0.31496062992125984" footer="0.31496062992125984"/>
  <pageSetup paperSize="9" scale="55" fitToHeight="0" orientation="portrait" r:id="rId1"/>
  <headerFooter>
    <oddFooter>&amp;L&amp;G&amp;C&amp;A&amp;R&amp;P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(1-2) 기초자료_퇴직급여 </vt:lpstr>
      <vt:lpstr>(1-3) 기초자료_기타장기종업원급여</vt:lpstr>
      <vt:lpstr>(2-1) 명부 작성방법</vt:lpstr>
      <vt:lpstr>(2-2) 재직자 명부</vt:lpstr>
      <vt:lpstr>(2-3) 퇴직자 및 DC전환자 명부</vt:lpstr>
      <vt:lpstr>(2-4) 추가 명부(장기근속)</vt:lpstr>
      <vt:lpstr>'(1-2) 기초자료_퇴직급여 '!Print_Area</vt:lpstr>
      <vt:lpstr>'(1-3) 기초자료_기타장기종업원급여'!Print_Area</vt:lpstr>
      <vt:lpstr>'(2-1) 명부 작성방법'!Print_Area</vt:lpstr>
      <vt:lpstr>'(2-2) 재직자 명부'!Print_Area</vt:lpstr>
      <vt:lpstr>'(2-4) 추가 명부(장기근속)'!Print_Area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류상연</cp:lastModifiedBy>
  <dcterms:created xsi:type="dcterms:W3CDTF">2022-12-28T02:55:55Z</dcterms:created>
  <dcterms:modified xsi:type="dcterms:W3CDTF">2026-01-02T14:04:57Z</dcterms:modified>
</cp:coreProperties>
</file>