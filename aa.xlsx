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dev\kihoon_\by_prompt\gemini\"/>
    </mc:Choice>
  </mc:AlternateContent>
  <xr:revisionPtr revIDLastSave="0" documentId="8_{50BE18F9-A252-4406-9D87-D3AADFA9DFB0}" xr6:coauthVersionLast="47" xr6:coauthVersionMax="47" xr10:uidLastSave="{00000000-0000-0000-0000-000000000000}"/>
  <bookViews>
    <workbookView xWindow="-108" yWindow="-108" windowWidth="23256" windowHeight="12456" tabRatio="739" firstSheet="2" activeTab="7"/>
  </bookViews>
  <sheets>
    <sheet name="feedback_send" sheetId="8" state="hidden" r:id="rId1"/>
    <sheet name="(1-1) self-checklist" sheetId="7" r:id="rId2"/>
    <sheet name="(1-2) 기초자료_퇴직급여 " sheetId="1" r:id="rId3"/>
    <sheet name="(1-3) 기초자료_기타장기종업원급여" sheetId="9" state="hidden" r:id="rId4"/>
    <sheet name="(2-1) 명부 작성방법" sheetId="3" r:id="rId5"/>
    <sheet name="(2-2) 재직자 명부" sheetId="4" r:id="rId6"/>
    <sheet name="(2-3) 퇴직자 및 DC전환자 명부" sheetId="5" r:id="rId7"/>
    <sheet name="(2-4) 추가 명부" sheetId="6" r:id="rId8"/>
  </sheets>
  <definedNames>
    <definedName name="_xlnm._FilterDatabase" localSheetId="5" hidden="1">'(2-2) 재직자 명부'!$A$1:$M$751</definedName>
    <definedName name="_xlnm._FilterDatabase" localSheetId="6" hidden="1">'(2-3) 퇴직자 및 DC전환자 명부'!$B$1:$J$1</definedName>
    <definedName name="_xlnm._FilterDatabase" localSheetId="7" hidden="1">'(2-4) 추가 명부'!$B$1:$I$2</definedName>
    <definedName name="_xlnm.Print_Area" localSheetId="1">'(1-1) self-checklist'!$B$3:$F$22</definedName>
    <definedName name="_xlnm.Print_Area" localSheetId="2">'(1-2) 기초자료_퇴직급여 '!$A$2:$L$155</definedName>
    <definedName name="_xlnm.Print_Area" localSheetId="4">'(2-1) 명부 작성방법'!$C$1:$E$28</definedName>
    <definedName name="_xlnm.Print_Area" localSheetId="5">'(2-2) 재직자 명부'!$A$1:$M$31</definedName>
    <definedName name="_xlnm.Print_Area" localSheetId="7">'(2-4) 추가 명부'!$A$1:$K$17</definedName>
    <definedName name="Z_43483F5C_8E8A_4730_B6D4_5C852E982BE9_.wvu.FilterData" localSheetId="5" hidden="1">'(2-2) 재직자 명부'!$B$1:$J$2</definedName>
    <definedName name="Z_43483F5C_8E8A_4730_B6D4_5C852E982BE9_.wvu.FilterData" localSheetId="6" hidden="1">'(2-3) 퇴직자 및 DC전환자 명부'!$B$1:$I$2</definedName>
    <definedName name="Z_43483F5C_8E8A_4730_B6D4_5C852E982BE9_.wvu.FilterData" localSheetId="7" hidden="1">'(2-4) 추가 명부'!$B$1:$I$2</definedName>
    <definedName name="Z_43483F5C_8E8A_4730_B6D4_5C852E982BE9_.wvu.PrintArea" localSheetId="2" hidden="1">'(1-2) 기초자료_퇴직급여 '!$A$2:$L$156</definedName>
    <definedName name="Z_43483F5C_8E8A_4730_B6D4_5C852E982BE9_.wvu.PrintArea" localSheetId="3" hidden="1">'(1-3) 기초자료_기타장기종업원급여'!$B$2:$F$36</definedName>
    <definedName name="Z_43483F5C_8E8A_4730_B6D4_5C852E982BE9_.wvu.PrintArea" localSheetId="4" hidden="1">'(2-1) 명부 작성방법'!$C$2:$E$29</definedName>
    <definedName name="Z_43483F5C_8E8A_4730_B6D4_5C852E982BE9_.wvu.PrintArea" localSheetId="5" hidden="1">'(2-2) 재직자 명부'!$A$1:$L$31</definedName>
    <definedName name="Z_43483F5C_8E8A_4730_B6D4_5C852E982BE9_.wvu.PrintArea" localSheetId="7" hidden="1">'(2-4) 추가 명부'!$A$1:$K$17</definedName>
    <definedName name="Z_43483F5C_8E8A_4730_B6D4_5C852E982BE9_.wvu.Rows" localSheetId="2" hidden="1">'(1-2) 기초자료_퇴직급여 '!$58:$58,'(1-2) 기초자료_퇴직급여 '!$86:$98</definedName>
    <definedName name="Z_D547A7EF_E679_4E79_95F6_4600943823D7_.wvu.FilterData" localSheetId="5" hidden="1">'(2-2) 재직자 명부'!$B$1:$J$2</definedName>
    <definedName name="Z_D547A7EF_E679_4E79_95F6_4600943823D7_.wvu.FilterData" localSheetId="6" hidden="1">'(2-3) 퇴직자 및 DC전환자 명부'!$B$1:$I$2</definedName>
    <definedName name="Z_D547A7EF_E679_4E79_95F6_4600943823D7_.wvu.FilterData" localSheetId="7" hidden="1">'(2-4) 추가 명부'!$B$1:$I$2</definedName>
    <definedName name="Z_D547A7EF_E679_4E79_95F6_4600943823D7_.wvu.PrintArea" localSheetId="2" hidden="1">'(1-2) 기초자료_퇴직급여 '!$A$2:$L$156</definedName>
    <definedName name="Z_D547A7EF_E679_4E79_95F6_4600943823D7_.wvu.PrintArea" localSheetId="3" hidden="1">'(1-3) 기초자료_기타장기종업원급여'!$B$2:$F$36</definedName>
    <definedName name="Z_D547A7EF_E679_4E79_95F6_4600943823D7_.wvu.PrintArea" localSheetId="4" hidden="1">'(2-1) 명부 작성방법'!$C$2:$E$29</definedName>
    <definedName name="Z_D547A7EF_E679_4E79_95F6_4600943823D7_.wvu.PrintArea" localSheetId="5" hidden="1">'(2-2) 재직자 명부'!$A$1:$L$31</definedName>
    <definedName name="Z_D547A7EF_E679_4E79_95F6_4600943823D7_.wvu.PrintArea" localSheetId="7" hidden="1">'(2-4) 추가 명부'!$A$1:$K$17</definedName>
    <definedName name="Z_D547A7EF_E679_4E79_95F6_4600943823D7_.wvu.Rows" localSheetId="2" hidden="1">'(1-2) 기초자료_퇴직급여 '!$58:$58,'(1-2) 기초자료_퇴직급여 '!$86:$98</definedName>
  </definedNames>
  <calcPr calcId="191029" calcMode="manual" fullCalcOnLoad="1"/>
  <customWorkbookViews>
    <customWorkbookView name="KimKJ - 사용자 보기" guid="{43483F5C-8E8A-4730-B6D4-5C852E982BE9}" mergeInterval="0" personalView="1" maximized="1" xWindow="1358" yWindow="-8" windowWidth="1936" windowHeight="1096" tabRatio="946" activeSheetId="1"/>
    <customWorkbookView name="GIA-01 - 사용자 보기" guid="{D547A7EF-E679-4E79-95F6-4600943823D7}" mergeInterval="0" personalView="1" maximized="1" xWindow="-8" yWindow="-8" windowWidth="1382" windowHeight="744" tabRatio="94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9" i="1" l="1"/>
  <c r="J33" i="1"/>
  <c r="I33" i="1"/>
  <c r="J31" i="1"/>
  <c r="J30" i="1"/>
  <c r="E34" i="1" a="1"/>
  <c r="E34" i="1"/>
  <c r="D34" i="1" a="1"/>
  <c r="D34" i="1"/>
  <c r="E113" i="1"/>
  <c r="E114" i="1"/>
  <c r="E115" i="1"/>
  <c r="E116" i="1"/>
  <c r="E117" i="1"/>
  <c r="E118" i="1"/>
  <c r="L44" i="1"/>
  <c r="K44" i="1"/>
  <c r="J42" i="1"/>
  <c r="J49" i="1"/>
  <c r="J48" i="1"/>
  <c r="J46" i="1"/>
  <c r="J45" i="1"/>
  <c r="J43" i="1"/>
  <c r="J41" i="1"/>
  <c r="J38" i="1"/>
  <c r="J37" i="1"/>
  <c r="J36" i="1"/>
  <c r="I82" i="1"/>
  <c r="E41" i="8"/>
  <c r="D41" i="8"/>
  <c r="E11" i="7"/>
  <c r="E10" i="7"/>
  <c r="C15" i="7"/>
  <c r="E20" i="7"/>
  <c r="E22" i="7"/>
  <c r="E15" i="7"/>
  <c r="E13" i="7"/>
  <c r="E14" i="7"/>
  <c r="E12" i="7"/>
  <c r="A17" i="4"/>
  <c r="E17" i="3"/>
  <c r="D34" i="8"/>
  <c r="D33" i="8"/>
  <c r="D32" i="8"/>
  <c r="D31" i="8"/>
  <c r="D30" i="8"/>
  <c r="B10" i="8"/>
  <c r="B12" i="8"/>
  <c r="B14" i="8"/>
  <c r="B16" i="8"/>
  <c r="C3" i="8"/>
  <c r="J27" i="1"/>
  <c r="J35" i="1"/>
  <c r="J32" i="1"/>
  <c r="J28" i="1"/>
  <c r="J26" i="1"/>
  <c r="H104" i="1"/>
  <c r="I50" i="1"/>
  <c r="J50" i="1"/>
  <c r="H50" i="1"/>
  <c r="H51" i="1"/>
  <c r="G50" i="1"/>
  <c r="F50" i="1"/>
  <c r="F51" i="1"/>
  <c r="I47" i="1"/>
  <c r="J47" i="1"/>
  <c r="H47" i="1"/>
  <c r="G47" i="1"/>
  <c r="F47" i="1"/>
  <c r="I74" i="1"/>
  <c r="H74" i="1"/>
  <c r="G74" i="1"/>
  <c r="F74" i="1"/>
  <c r="I77" i="1"/>
  <c r="H77" i="1"/>
  <c r="G77" i="1"/>
  <c r="F77" i="1"/>
  <c r="I71" i="1"/>
  <c r="I78" i="1"/>
  <c r="I83" i="1"/>
  <c r="H71" i="1"/>
  <c r="H78" i="1"/>
  <c r="G71" i="1"/>
  <c r="F71" i="1"/>
  <c r="F44" i="1"/>
  <c r="I44" i="1"/>
  <c r="J44" i="1"/>
  <c r="I51" i="1"/>
  <c r="J51" i="1"/>
  <c r="H44" i="1"/>
  <c r="G44" i="1"/>
  <c r="G51" i="1"/>
  <c r="F29" i="1"/>
  <c r="G29" i="1"/>
  <c r="H29" i="1"/>
  <c r="I29" i="1"/>
  <c r="J29" i="1"/>
  <c r="F33" i="1"/>
  <c r="G33" i="1"/>
  <c r="H33" i="1"/>
  <c r="F39" i="1"/>
  <c r="G39" i="1"/>
  <c r="H39" i="1"/>
  <c r="I39" i="1"/>
  <c r="I62" i="1"/>
  <c r="J63" i="1"/>
  <c r="G132" i="1"/>
  <c r="C132" i="1"/>
  <c r="F68" i="1"/>
  <c r="F78" i="1"/>
  <c r="G68" i="1"/>
  <c r="G78" i="1"/>
  <c r="H68" i="1"/>
  <c r="I68" i="1"/>
  <c r="F92" i="1"/>
  <c r="F97" i="1"/>
  <c r="F93" i="1"/>
  <c r="G92" i="1"/>
  <c r="G95" i="1"/>
  <c r="G97" i="1"/>
  <c r="H92" i="1"/>
  <c r="H94" i="1"/>
  <c r="I92" i="1"/>
  <c r="I96" i="1"/>
  <c r="I94" i="1"/>
  <c r="H96" i="1"/>
  <c r="G93" i="1"/>
  <c r="I97" i="1"/>
  <c r="I95" i="1"/>
  <c r="F95" i="1"/>
  <c r="H95" i="1"/>
  <c r="F96" i="1"/>
  <c r="I93" i="1"/>
  <c r="I98" i="1"/>
  <c r="J34" i="1"/>
  <c r="G82" i="1"/>
  <c r="G83" i="1"/>
  <c r="F82" i="1"/>
  <c r="F83" i="1"/>
  <c r="H82" i="1"/>
  <c r="H83" i="1"/>
  <c r="F98" i="1"/>
  <c r="H93" i="1"/>
  <c r="H98" i="1"/>
  <c r="H97" i="1"/>
  <c r="F94" i="1"/>
  <c r="G96" i="1"/>
  <c r="G94" i="1"/>
  <c r="G98" i="1"/>
</calcChain>
</file>

<file path=xl/comments1.xml><?xml version="1.0" encoding="utf-8"?>
<comments xmlns="http://schemas.openxmlformats.org/spreadsheetml/2006/main">
  <authors>
    <author>PC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>1:</t>
        </r>
        <r>
          <rPr>
            <b/>
            <sz val="9"/>
            <color indexed="81"/>
            <rFont val="돋움"/>
            <family val="3"/>
            <charset val="129"/>
          </rPr>
          <t xml:space="preserve">세라젬
</t>
        </r>
        <r>
          <rPr>
            <b/>
            <sz val="9"/>
            <color indexed="81"/>
            <rFont val="Tahoma"/>
            <family val="2"/>
          </rPr>
          <t>2:</t>
        </r>
        <r>
          <rPr>
            <b/>
            <sz val="9"/>
            <color indexed="81"/>
            <rFont val="돋움"/>
            <family val="3"/>
            <charset val="129"/>
          </rPr>
          <t>씨앤에스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이관자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돋움"/>
            <family val="3"/>
            <charset val="129"/>
          </rPr>
          <t xml:space="preserve">임원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돋움"/>
            <family val="3"/>
            <charset val="129"/>
          </rPr>
          <t>계약직</t>
        </r>
      </text>
    </comment>
    <comment ref="J1" authorId="0" shapeId="0">
      <text>
        <r>
          <rPr>
            <b/>
            <sz val="9"/>
            <color indexed="81"/>
            <rFont val="돋움"/>
            <family val="3"/>
            <charset val="129"/>
          </rPr>
          <t>개인별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중간정산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일자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2025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중간정산액만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sharedStrings.xml><?xml version="1.0" encoding="utf-8"?>
<sst xmlns="http://schemas.openxmlformats.org/spreadsheetml/2006/main" count="3392" uniqueCount="2435">
  <si>
    <t>중간정산 당일로 입력</t>
    <phoneticPr fontId="2" type="noConversion"/>
  </si>
  <si>
    <t>중간정산기준일</t>
    <phoneticPr fontId="3" type="noConversion"/>
  </si>
  <si>
    <t>(임원, 계약직 필수 입력)</t>
    <phoneticPr fontId="2" type="noConversion"/>
  </si>
  <si>
    <t>퇴직금 계산시 사용되는 평균임금</t>
    <phoneticPr fontId="2" type="noConversion"/>
  </si>
  <si>
    <t>기준급여</t>
    <phoneticPr fontId="3" type="noConversion"/>
  </si>
  <si>
    <t>최초 입사일자 입력</t>
    <phoneticPr fontId="2" type="noConversion"/>
  </si>
  <si>
    <t>입사일자</t>
    <phoneticPr fontId="3" type="noConversion"/>
  </si>
  <si>
    <t>※ 양식 변경 절대 불가</t>
  </si>
  <si>
    <t>당년도 퇴직금추계액</t>
    <phoneticPr fontId="3" type="noConversion"/>
  </si>
  <si>
    <t>사유발생일</t>
  </si>
  <si>
    <t>해당 사유 발생일 입력</t>
  </si>
  <si>
    <t>사유발생일 현재 퇴직금추계액</t>
    <phoneticPr fontId="2" type="noConversion"/>
  </si>
  <si>
    <t>합계</t>
    <phoneticPr fontId="2" type="noConversion"/>
  </si>
  <si>
    <t>지분상품</t>
  </si>
  <si>
    <t>부동산</t>
    <phoneticPr fontId="2" type="noConversion"/>
  </si>
  <si>
    <t>기타자산</t>
    <phoneticPr fontId="2" type="noConversion"/>
  </si>
  <si>
    <t>현금 및 현금등가물</t>
  </si>
  <si>
    <t>재직자별로 정년이 다른 경우 구분 필요</t>
    <phoneticPr fontId="2" type="noConversion"/>
  </si>
  <si>
    <t>임금피크제</t>
    <phoneticPr fontId="2" type="noConversion"/>
  </si>
  <si>
    <t>기타장기종업원급여</t>
    <phoneticPr fontId="2" type="noConversion"/>
  </si>
  <si>
    <t>지급률 가감</t>
    <phoneticPr fontId="3" type="noConversion"/>
  </si>
  <si>
    <t>* 근퇴법에서는 퇴직급여제도를 퇴직금제도, 퇴직연금제도(DB, DC, IRP)로 구분합니다.</t>
    <phoneticPr fontId="2" type="noConversion"/>
  </si>
  <si>
    <r>
      <t xml:space="preserve">  따라서 기초자료, 재직자 및 퇴직자명부는 </t>
    </r>
    <r>
      <rPr>
        <b/>
        <sz val="10"/>
        <rFont val="맑은 고딕"/>
        <family val="3"/>
        <charset val="129"/>
      </rPr>
      <t>IFRS 퇴직급여채무평가 대상자에 한하여</t>
    </r>
    <r>
      <rPr>
        <sz val="10"/>
        <rFont val="맑은 고딕"/>
        <family val="3"/>
        <charset val="129"/>
      </rPr>
      <t xml:space="preserve"> 작성하여 주시기 바랍니다.</t>
    </r>
    <phoneticPr fontId="2" type="noConversion"/>
  </si>
  <si>
    <t>☞ 퇴직금 또는 기타장기종업원급여의 지급규정 변경시 변경내용을 제공하여 주시기 바랍니다. (예 : 법정제 → 누진제 등, 장기근속포상금 변경 등)</t>
    <phoneticPr fontId="2" type="noConversion"/>
  </si>
  <si>
    <t>1. 일반사항</t>
    <phoneticPr fontId="2" type="noConversion"/>
  </si>
  <si>
    <t>회사명</t>
    <phoneticPr fontId="2" type="noConversion"/>
  </si>
  <si>
    <t>담당자</t>
    <phoneticPr fontId="2" type="noConversion"/>
  </si>
  <si>
    <t>전화번호</t>
    <phoneticPr fontId="2" type="noConversion"/>
  </si>
  <si>
    <t>이메일</t>
    <phoneticPr fontId="2" type="noConversion"/>
  </si>
  <si>
    <t>결산월</t>
    <phoneticPr fontId="2" type="noConversion"/>
  </si>
  <si>
    <t>주  소</t>
    <phoneticPr fontId="2" type="noConversion"/>
  </si>
  <si>
    <t>2. 평가대상 및 퇴직급여 지급(환입) 현황</t>
    <phoneticPr fontId="2" type="noConversion"/>
  </si>
  <si>
    <t>☞ DC형 퇴직연금가입자(IRP 포함)를 제외한 전 임직원을 기준으로 작성</t>
    <phoneticPr fontId="2" type="noConversion"/>
  </si>
  <si>
    <t>항목</t>
    <phoneticPr fontId="2" type="noConversion"/>
  </si>
  <si>
    <t>내용</t>
    <phoneticPr fontId="2" type="noConversion"/>
  </si>
  <si>
    <t>평가
대상</t>
    <phoneticPr fontId="2" type="noConversion"/>
  </si>
  <si>
    <t>재직자수
(명)</t>
    <phoneticPr fontId="2" type="noConversion"/>
  </si>
  <si>
    <t>임원</t>
    <phoneticPr fontId="2" type="noConversion"/>
  </si>
  <si>
    <t>직원</t>
    <phoneticPr fontId="2" type="noConversion"/>
  </si>
  <si>
    <t>계약직</t>
    <phoneticPr fontId="2" type="noConversion"/>
  </si>
  <si>
    <t>합계</t>
    <phoneticPr fontId="2" type="noConversion"/>
  </si>
  <si>
    <t>퇴직자수
(명)</t>
    <phoneticPr fontId="2" type="noConversion"/>
  </si>
  <si>
    <t>퇴직금 추계액
(원)</t>
    <phoneticPr fontId="2" type="noConversion"/>
  </si>
  <si>
    <t>☞ 일시에 대규모의 전출입이 있을시 전출일 시점에 재평가가 필요하므로 알려주시기 바랍니다.</t>
    <phoneticPr fontId="2" type="noConversion"/>
  </si>
  <si>
    <t>3. 사외적립자산 현황</t>
    <phoneticPr fontId="2" type="noConversion"/>
  </si>
  <si>
    <t>☞ DC형 퇴직연금자산은 제외됩니다.</t>
    <phoneticPr fontId="2" type="noConversion"/>
  </si>
  <si>
    <t>☞ 사외적립자산 재직자별 가입비율이 다를 경우, 재직자 퇴직자 명부 예비란에 비율기재</t>
    <phoneticPr fontId="2" type="noConversion"/>
  </si>
  <si>
    <r>
      <t>사외적립자산관련 자료</t>
    </r>
    <r>
      <rPr>
        <sz val="10"/>
        <color indexed="8"/>
        <rFont val="맑은 고딕"/>
        <family val="3"/>
        <charset val="129"/>
      </rPr>
      <t xml:space="preserve"> 작성 기준일</t>
    </r>
    <phoneticPr fontId="2" type="noConversion"/>
  </si>
  <si>
    <t>퇴직연금</t>
    <phoneticPr fontId="2" type="noConversion"/>
  </si>
  <si>
    <r>
      <t>작성기준일 현재</t>
    </r>
    <r>
      <rPr>
        <sz val="10"/>
        <color indexed="8"/>
        <rFont val="맑은 고딕"/>
        <family val="3"/>
        <charset val="129"/>
      </rPr>
      <t xml:space="preserve"> 사외적립자산의 공정가치
(퇴직연금사업자에게 확인)</t>
    </r>
    <phoneticPr fontId="2" type="noConversion"/>
  </si>
  <si>
    <t>퇴직신탁</t>
    <phoneticPr fontId="2" type="noConversion"/>
  </si>
  <si>
    <t>퇴직보험</t>
    <phoneticPr fontId="2" type="noConversion"/>
  </si>
  <si>
    <t>사외적립자산
세부내역
(원)</t>
    <phoneticPr fontId="2" type="noConversion"/>
  </si>
  <si>
    <r>
      <t>현금 및</t>
    </r>
    <r>
      <rPr>
        <sz val="10"/>
        <color indexed="8"/>
        <rFont val="맑은 고딕"/>
        <family val="3"/>
        <charset val="129"/>
      </rPr>
      <t xml:space="preserve"> 현금등가물</t>
    </r>
    <phoneticPr fontId="2" type="noConversion"/>
  </si>
  <si>
    <r>
      <t xml:space="preserve">작성기준일 현재
</t>
    </r>
    <r>
      <rPr>
        <sz val="10"/>
        <color indexed="8"/>
        <rFont val="맑은 고딕"/>
        <family val="3"/>
        <charset val="129"/>
      </rPr>
      <t>사외적립자산의 자산의 세부내역</t>
    </r>
    <phoneticPr fontId="2" type="noConversion"/>
  </si>
  <si>
    <t>채권</t>
    <phoneticPr fontId="2" type="noConversion"/>
  </si>
  <si>
    <t>사외적립자산
세부구성비
(%)</t>
    <phoneticPr fontId="2" type="noConversion"/>
  </si>
  <si>
    <t>(자동계산)</t>
    <phoneticPr fontId="2" type="noConversion"/>
  </si>
  <si>
    <t>채권</t>
    <phoneticPr fontId="2" type="noConversion"/>
  </si>
  <si>
    <t>부동산</t>
    <phoneticPr fontId="2" type="noConversion"/>
  </si>
  <si>
    <t>4. 퇴직급여제도의 주요 사항</t>
    <phoneticPr fontId="2" type="noConversion"/>
  </si>
  <si>
    <t>항목</t>
    <phoneticPr fontId="2" type="noConversion"/>
  </si>
  <si>
    <t>내용</t>
    <phoneticPr fontId="2" type="noConversion"/>
  </si>
  <si>
    <t>비고</t>
    <phoneticPr fontId="2" type="noConversion"/>
  </si>
  <si>
    <t>정년퇴직연령</t>
    <phoneticPr fontId="2" type="noConversion"/>
  </si>
  <si>
    <t>+</t>
    <phoneticPr fontId="3" type="noConversion"/>
  </si>
  <si>
    <t>군복무, 포상, 장기근속 등</t>
    <phoneticPr fontId="3" type="noConversion"/>
  </si>
  <si>
    <r>
      <t xml:space="preserve">인별로 지급률 가감이 적용된 경우 명시하시고,
아래 </t>
    </r>
    <r>
      <rPr>
        <sz val="10"/>
        <color indexed="10"/>
        <rFont val="맑은 고딕"/>
        <family val="3"/>
        <charset val="129"/>
      </rPr>
      <t>"9. 특이사항"에 세부내용 명시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</si>
  <si>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-</t>
    <phoneticPr fontId="3" type="noConversion"/>
  </si>
  <si>
    <t>휴직, 수습기간, 징계 등</t>
    <phoneticPr fontId="3" type="noConversion"/>
  </si>
  <si>
    <t>제도구분</t>
    <phoneticPr fontId="2" type="noConversion"/>
  </si>
  <si>
    <t>기타</t>
    <phoneticPr fontId="2" type="noConversion"/>
  </si>
  <si>
    <t>1년미만 근무기간 처리방법(            )</t>
    <phoneticPr fontId="2" type="noConversion"/>
  </si>
  <si>
    <t>회계기간 중 축소, 정산, 사업결합, 
중간정산, DC전환 발생여부</t>
    <phoneticPr fontId="2" type="noConversion"/>
  </si>
  <si>
    <t>회계기간 중
일부 중간정산, DC전환 발생 여부</t>
    <phoneticPr fontId="2" type="noConversion"/>
  </si>
  <si>
    <t xml:space="preserve">      5. 할인율 산출 기준</t>
    <phoneticPr fontId="2" type="noConversion"/>
  </si>
  <si>
    <r>
      <t xml:space="preserve">☞ 퇴직급여채무 산정시 사용되는 할인율은 [기업회계기준서 제1019호]에 의거, 보고기간 말 현재 </t>
    </r>
    <r>
      <rPr>
        <u/>
        <sz val="10"/>
        <color indexed="8"/>
        <rFont val="맑은 고딕"/>
        <family val="3"/>
        <charset val="129"/>
      </rPr>
      <t xml:space="preserve">우량회사채 시장수익률 </t>
    </r>
    <r>
      <rPr>
        <sz val="10"/>
        <color indexed="8"/>
        <rFont val="맑은 고딕"/>
        <family val="3"/>
        <charset val="129"/>
      </rPr>
      <t xml:space="preserve">또는 </t>
    </r>
    <r>
      <rPr>
        <u/>
        <sz val="10"/>
        <color indexed="8"/>
        <rFont val="맑은 고딕"/>
        <family val="3"/>
        <charset val="129"/>
      </rPr>
      <t>국공채의 시장수익률</t>
    </r>
    <r>
      <rPr>
        <sz val="10"/>
        <color indexed="8"/>
        <rFont val="맑은 고딕"/>
        <family val="3"/>
        <charset val="129"/>
      </rPr>
      <t xml:space="preserve">을 사용합니다. </t>
    </r>
    <phoneticPr fontId="2" type="noConversion"/>
  </si>
  <si>
    <r>
      <t xml:space="preserve">    기존에 평가를 받은 적이 있는 경우는 </t>
    </r>
    <r>
      <rPr>
        <sz val="10"/>
        <color indexed="10"/>
        <rFont val="맑은 고딕"/>
        <family val="3"/>
        <charset val="129"/>
      </rPr>
      <t>평가보고서에서 확인</t>
    </r>
    <r>
      <rPr>
        <sz val="10"/>
        <color indexed="8"/>
        <rFont val="맑은 고딕"/>
        <family val="3"/>
        <charset val="129"/>
      </rPr>
      <t xml:space="preserve"> 가능합니다.</t>
    </r>
    <phoneticPr fontId="2" type="noConversion"/>
  </si>
  <si>
    <t>6. 사외적립자산 적립비율(가입비율)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</si>
  <si>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sz val="9"/>
        <color indexed="8"/>
        <rFont val="맑은 고딕"/>
        <family val="3"/>
        <charset val="129"/>
      </rPr>
      <t>예) 100%, 70%, 60% 등</t>
    </r>
    <phoneticPr fontId="2" type="noConversion"/>
  </si>
  <si>
    <t>7. 재직자/퇴직자 명부</t>
    <phoneticPr fontId="2" type="noConversion"/>
  </si>
  <si>
    <t>재직자명부</t>
    <phoneticPr fontId="2" type="noConversion"/>
  </si>
  <si>
    <t>퇴직자명부</t>
    <phoneticPr fontId="2" type="noConversion"/>
  </si>
  <si>
    <t>8. 퇴직금지급규정</t>
    <phoneticPr fontId="2" type="noConversion"/>
  </si>
  <si>
    <r>
      <t>☞ 임원</t>
    </r>
    <r>
      <rPr>
        <sz val="10"/>
        <color indexed="8"/>
        <rFont val="맑은 고딕"/>
        <family val="3"/>
        <charset val="129"/>
      </rPr>
      <t xml:space="preserve">, </t>
    </r>
    <r>
      <rPr>
        <sz val="10"/>
        <color indexed="8"/>
        <rFont val="맑은 고딕"/>
        <family val="3"/>
        <charset val="129"/>
      </rPr>
      <t>직원</t>
    </r>
    <r>
      <rPr>
        <sz val="10"/>
        <color indexed="8"/>
        <rFont val="맑은 고딕"/>
        <family val="3"/>
        <charset val="129"/>
      </rPr>
      <t xml:space="preserve"> 등</t>
    </r>
    <r>
      <rPr>
        <sz val="10"/>
        <color indexed="8"/>
        <rFont val="맑은 고딕"/>
        <family val="3"/>
        <charset val="129"/>
      </rPr>
      <t>의 퇴직금지급규정 등을 첨부하여 보내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 xml:space="preserve">주시기 바랍니다.  </t>
    </r>
    <phoneticPr fontId="2" type="noConversion"/>
  </si>
  <si>
    <t>9. 특이 사항</t>
    <phoneticPr fontId="2" type="noConversion"/>
  </si>
  <si>
    <t>☞ 아래 사항에 해당하는 문서를 제공하여 주십시오.</t>
    <phoneticPr fontId="2" type="noConversion"/>
  </si>
  <si>
    <t xml:space="preserve">    문서를 제공하기 어려우면 해당 내용을 상세하게 기술하여 주시기 바랍니다.</t>
    <phoneticPr fontId="2" type="noConversion"/>
  </si>
  <si>
    <t>(1) 임금피크제</t>
    <phoneticPr fontId="2" type="noConversion"/>
  </si>
  <si>
    <t>(2) 지급률 가감</t>
    <phoneticPr fontId="2" type="noConversion"/>
  </si>
  <si>
    <t>(3) 퇴직금 누진제</t>
    <phoneticPr fontId="2" type="noConversion"/>
  </si>
  <si>
    <t>(4) 축소, 정산, 사업결합, 중간정산, DC 전환 등</t>
    <phoneticPr fontId="2" type="noConversion"/>
  </si>
  <si>
    <r>
      <t>Y (Yes)인 경우, 전액이 아닌 일부 중간정산, DC전환한
경우,</t>
    </r>
    <r>
      <rPr>
        <sz val="10"/>
        <color indexed="10"/>
        <rFont val="맑은 고딕"/>
        <family val="3"/>
        <charset val="129"/>
      </rPr>
      <t xml:space="preserve"> "(2-2) 재직자 명부" 예비란에 정산비율 입력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</si>
  <si>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임금피크제는 …</t>
    <phoneticPr fontId="26" type="noConversion"/>
  </si>
  <si>
    <t>지급률 가감은 …</t>
    <phoneticPr fontId="26" type="noConversion"/>
  </si>
  <si>
    <t>퇴직금 누진제는 …</t>
    <phoneticPr fontId="26" type="noConversion"/>
  </si>
  <si>
    <t>축소, 정산은 …</t>
    <phoneticPr fontId="26" type="noConversion"/>
  </si>
  <si>
    <t xml:space="preserve">      중간정산자수</t>
    <phoneticPr fontId="2" type="noConversion"/>
  </si>
  <si>
    <t xml:space="preserve">      DC전환자수</t>
    <phoneticPr fontId="2" type="noConversion"/>
  </si>
  <si>
    <t>☞ base-up율은 전직원에 일률적으로 적용되는 기본인상률(인플레이션 보상)입니다. 호봉제의 경우 임금상승률은 base-up율과 재직자별 승급, 승진에 의한 승급률에 의하여 결정됩니다.</t>
    <phoneticPr fontId="2" type="noConversion"/>
  </si>
  <si>
    <r>
      <rPr>
        <sz val="10"/>
        <color indexed="10"/>
        <rFont val="맑은 고딕"/>
        <family val="3"/>
        <charset val="129"/>
      </rPr>
      <t>&lt;호봉제&gt;</t>
    </r>
    <r>
      <rPr>
        <sz val="10"/>
        <rFont val="맑은 고딕"/>
        <family val="3"/>
        <charset val="129"/>
      </rPr>
      <t xml:space="preserve">는 근무기간에 따라 호봉이 올라서 급여가
인상되는 임금체계, </t>
    </r>
    <r>
      <rPr>
        <sz val="10"/>
        <color indexed="10"/>
        <rFont val="맑은 고딕"/>
        <family val="3"/>
        <charset val="129"/>
      </rPr>
      <t>&lt;연봉제&gt;</t>
    </r>
    <r>
      <rPr>
        <sz val="10"/>
        <rFont val="맑은 고딕"/>
        <family val="3"/>
        <charset val="129"/>
      </rPr>
      <t>는 업무성과에 따라서 급여가
결정되는 임금체계</t>
    </r>
    <phoneticPr fontId="2" type="noConversion"/>
  </si>
  <si>
    <t>작성기준일</t>
  </si>
  <si>
    <t>항  목</t>
    <phoneticPr fontId="2" type="noConversion"/>
  </si>
  <si>
    <t>내  용</t>
    <phoneticPr fontId="2" type="noConversion"/>
  </si>
  <si>
    <t>비  고</t>
    <phoneticPr fontId="2" type="noConversion"/>
  </si>
  <si>
    <t>구  분</t>
    <phoneticPr fontId="26" type="noConversion"/>
  </si>
  <si>
    <t>급여지급(인출)액
(C)</t>
    <phoneticPr fontId="26" type="noConversion"/>
  </si>
  <si>
    <t>관계사전입(전출)액
(D)</t>
    <phoneticPr fontId="26" type="noConversion"/>
  </si>
  <si>
    <t>소 계</t>
  </si>
  <si>
    <t>운용성과
(F)</t>
    <phoneticPr fontId="26" type="noConversion"/>
  </si>
  <si>
    <t>(A+B-C+D+E+F)</t>
    <phoneticPr fontId="26" type="noConversion"/>
  </si>
  <si>
    <t>기초 잔액 (A)</t>
    <phoneticPr fontId="2" type="noConversion"/>
  </si>
  <si>
    <t xml:space="preserve">    국민연금전환금</t>
  </si>
  <si>
    <t>국민연금전환금이 있는 경우, 입력</t>
  </si>
  <si>
    <t>기말잔액</t>
    <phoneticPr fontId="26" type="noConversion"/>
  </si>
  <si>
    <t>공시방법</t>
    <phoneticPr fontId="26" type="noConversion"/>
  </si>
  <si>
    <t>① 별도 공시/② 사외적립자산에 포함/③ 미공시 중 선택</t>
    <phoneticPr fontId="26" type="noConversion"/>
  </si>
  <si>
    <t>① / ② / ③</t>
  </si>
  <si>
    <t>① / ② / ③</t>
    <phoneticPr fontId="26" type="noConversion"/>
  </si>
  <si>
    <t>차 이</t>
    <phoneticPr fontId="26" type="noConversion"/>
  </si>
  <si>
    <t>(산식-입력)</t>
    <phoneticPr fontId="26" type="noConversion"/>
  </si>
  <si>
    <t>입금(수탁)액(B)</t>
    <phoneticPr fontId="2" type="noConversion"/>
  </si>
  <si>
    <t>퇴  직 (a)</t>
    <phoneticPr fontId="2" type="noConversion"/>
  </si>
  <si>
    <t>중간정산 (b)</t>
    <phoneticPr fontId="2" type="noConversion"/>
  </si>
  <si>
    <t>DC전환 (c)</t>
    <phoneticPr fontId="2" type="noConversion"/>
  </si>
  <si>
    <t>소 계 (a+b+c)</t>
    <phoneticPr fontId="2" type="noConversion"/>
  </si>
  <si>
    <t>관계사전입 (d)</t>
    <phoneticPr fontId="26" type="noConversion"/>
  </si>
  <si>
    <t>관계사전출 (e)</t>
    <phoneticPr fontId="26" type="noConversion"/>
  </si>
  <si>
    <t>소 계 (d-e)</t>
    <phoneticPr fontId="2" type="noConversion"/>
  </si>
  <si>
    <t>사업결합 (f)</t>
    <phoneticPr fontId="26" type="noConversion"/>
  </si>
  <si>
    <t>사업처분 (g)</t>
    <phoneticPr fontId="26" type="noConversion"/>
  </si>
  <si>
    <t>소 계 (f-g)</t>
    <phoneticPr fontId="2" type="noConversion"/>
  </si>
  <si>
    <t>투자수익 (h)</t>
    <phoneticPr fontId="26" type="noConversion"/>
  </si>
  <si>
    <t>운용관리수수료(i)</t>
    <phoneticPr fontId="26" type="noConversion"/>
  </si>
  <si>
    <t>소 계 (h-i)</t>
    <phoneticPr fontId="2" type="noConversion"/>
  </si>
  <si>
    <t>급여지급액
(A)</t>
    <phoneticPr fontId="2" type="noConversion"/>
  </si>
  <si>
    <t>관계사전입(전출)액
(B)</t>
    <phoneticPr fontId="2" type="noConversion"/>
  </si>
  <si>
    <t>사업결합(처분)액
(C)</t>
    <phoneticPr fontId="26" type="noConversion"/>
  </si>
  <si>
    <t>기초부터 누계 입금(수탁)액</t>
    <phoneticPr fontId="2" type="noConversion"/>
  </si>
  <si>
    <t>☞ 금액은 모두 (+)로 기재</t>
    <phoneticPr fontId="2" type="noConversion"/>
  </si>
  <si>
    <t>기초부터 누계 급여지급(인출)액</t>
    <phoneticPr fontId="2" type="noConversion"/>
  </si>
  <si>
    <t>기초부터 누계 관계사전입(전출)액</t>
    <phoneticPr fontId="2" type="noConversion"/>
  </si>
  <si>
    <t>기초부터 누계 사업결합(처분) 금액</t>
    <phoneticPr fontId="2" type="noConversion"/>
  </si>
  <si>
    <t>기초부터 누계 투자수익 및 운용관리수수료 금액</t>
    <phoneticPr fontId="2" type="noConversion"/>
  </si>
  <si>
    <t xml:space="preserve">임금인상률
(Base-up)
</t>
    <phoneticPr fontId="26" type="noConversion"/>
  </si>
  <si>
    <t>퇴직부채 감소
(증가)액(원)</t>
    <phoneticPr fontId="2" type="noConversion"/>
  </si>
  <si>
    <t>퇴직부채 감소(증가)액 합계 (A-B-C)</t>
    <phoneticPr fontId="2" type="noConversion"/>
  </si>
  <si>
    <t>퇴직금 (a)</t>
    <phoneticPr fontId="26" type="noConversion"/>
  </si>
  <si>
    <t>중간정산금액 (b)</t>
    <phoneticPr fontId="26" type="noConversion"/>
  </si>
  <si>
    <t>DC 전환금 (c)</t>
    <phoneticPr fontId="26" type="noConversion"/>
  </si>
  <si>
    <t>소계 (a+b+c)</t>
    <phoneticPr fontId="26" type="noConversion"/>
  </si>
  <si>
    <t>관계사 전입액 (d)</t>
    <phoneticPr fontId="26" type="noConversion"/>
  </si>
  <si>
    <t>관계사 전출액 (e)</t>
    <phoneticPr fontId="26" type="noConversion"/>
  </si>
  <si>
    <t>소계 (d-e)</t>
    <phoneticPr fontId="26" type="noConversion"/>
  </si>
  <si>
    <t>사업결합액 (f)</t>
    <phoneticPr fontId="26" type="noConversion"/>
  </si>
  <si>
    <t>사업처분액 (g)</t>
    <phoneticPr fontId="26" type="noConversion"/>
  </si>
  <si>
    <t>소계 (f-g)</t>
    <phoneticPr fontId="26" type="noConversion"/>
  </si>
  <si>
    <t>사업결합(처분)액
(E)</t>
    <phoneticPr fontId="26" type="noConversion"/>
  </si>
  <si>
    <t>사외적립
자산
변동내역
(원)</t>
    <phoneticPr fontId="26" type="noConversion"/>
  </si>
  <si>
    <r>
      <t>기말 잔액</t>
    </r>
    <r>
      <rPr>
        <b/>
        <sz val="10"/>
        <color indexed="10"/>
        <rFont val="맑은 고딕"/>
        <family val="3"/>
        <charset val="129"/>
      </rPr>
      <t>(산식)</t>
    </r>
    <phoneticPr fontId="26" type="noConversion"/>
  </si>
  <si>
    <r>
      <t>기말 잔액</t>
    </r>
    <r>
      <rPr>
        <b/>
        <sz val="10"/>
        <color indexed="10"/>
        <rFont val="맑은 고딕"/>
        <family val="3"/>
        <charset val="129"/>
      </rPr>
      <t>(입력)</t>
    </r>
    <phoneticPr fontId="26" type="noConversion"/>
  </si>
  <si>
    <t>차이가 발생하면 입력 오류, 입력값 확인 필요 !!!</t>
    <phoneticPr fontId="26" type="noConversion"/>
  </si>
  <si>
    <r>
      <t xml:space="preserve">☞ 금액은 모두 (+)로 기재, 사외적립자산은 회계(재무) 부서에 작성 의뢰하면 더 정확합니다.  (오류가 많은 부분이니 </t>
    </r>
    <r>
      <rPr>
        <b/>
        <sz val="12"/>
        <color indexed="56"/>
        <rFont val="맑은 고딕"/>
        <family val="3"/>
        <charset val="129"/>
      </rPr>
      <t>[재확인]</t>
    </r>
    <r>
      <rPr>
        <b/>
        <sz val="12"/>
        <color indexed="10"/>
        <rFont val="맑은 고딕"/>
        <family val="3"/>
        <charset val="129"/>
      </rPr>
      <t xml:space="preserve"> 부탁드립니다)</t>
    </r>
    <phoneticPr fontId="2" type="noConversion"/>
  </si>
  <si>
    <t>아니오 (연봉제)</t>
    <phoneticPr fontId="26" type="noConversion"/>
  </si>
  <si>
    <t>적용 연월일 명시 필요
(&lt;호봉제&gt;의 경우 직원별 승급/승진으로 인한 인상분을 제외한 재직자의 평균 임금상승률 기재)</t>
    <phoneticPr fontId="2" type="noConversion"/>
  </si>
  <si>
    <r>
      <t xml:space="preserve">근무기간에 따라 </t>
    </r>
    <r>
      <rPr>
        <b/>
        <u/>
        <sz val="10"/>
        <color indexed="10"/>
        <rFont val="맑은 고딕"/>
        <family val="3"/>
        <charset val="129"/>
      </rPr>
      <t>호봉</t>
    </r>
    <r>
      <rPr>
        <b/>
        <u/>
        <sz val="10"/>
        <color indexed="8"/>
        <rFont val="맑은 고딕"/>
        <family val="3"/>
        <charset val="129"/>
      </rPr>
      <t xml:space="preserve">이 올라 
급여가 인상되는 임금체계 입니까?
</t>
    </r>
    <r>
      <rPr>
        <b/>
        <sz val="10"/>
        <color indexed="8"/>
        <rFont val="맑은 고딕"/>
        <family val="3"/>
        <charset val="129"/>
      </rPr>
      <t>(드롭박스에서 예/아니오 선택)</t>
    </r>
    <phoneticPr fontId="26" type="noConversion"/>
  </si>
  <si>
    <t>작성기준일 현재 재직자 수
(2-2) 재직자 명부의 재직자 수와 일치</t>
  </si>
  <si>
    <t>기초부터 누계 퇴직자 수
(2-3) 퇴직자 명부의 퇴직자 수와 일치</t>
  </si>
  <si>
    <t>기초부터 누계 중간정산자 수
(2-2) 재직자 명부의 당기 중간정산자 수와 일치</t>
  </si>
  <si>
    <t>기초부터 누계 DC전환자 수
(2-3) DC전환자 명부의 DC전환자 수와 일치</t>
  </si>
  <si>
    <t>작성기준일 현재 퇴직금 추계액
(2-2) 재직자 명부의 당년도 퇴직금추계액과 일치</t>
  </si>
  <si>
    <t>기초부터 누계 퇴직금 지급액(퇴직급여충당금 감소 처리)
(2-3) 퇴직자 명부의 퇴직금 합계와 일치</t>
  </si>
  <si>
    <t>기초부터 누계 중간정산금액(퇴직급여충당금 감소 처리)
(2-2) 재직자 명부의 중간정산액 합계와 일치</t>
  </si>
  <si>
    <t>기초부터 누계 DC전환금액(퇴직급여충당금 감소 처리)
(2-3) DC전환자 명부의 DC전환금 합계와 일치</t>
  </si>
  <si>
    <t>기초부터 누계 관계사 전입(전출)액
(2-4) 추가 명부의 관계사 전입(전출)액 합계와 일치</t>
  </si>
  <si>
    <t>기초부터 누계 사업결합(처분)액
(2-4) 추가 명부의 사업결합(처분) 금액 합계와 일치</t>
  </si>
  <si>
    <t>기초자료 및 명부 작성 기준일</t>
    <phoneticPr fontId="2" type="noConversion"/>
  </si>
  <si>
    <t>기초자료 및 명부
일치여부</t>
    <phoneticPr fontId="2" type="noConversion"/>
  </si>
  <si>
    <t>#</t>
    <phoneticPr fontId="33" type="noConversion"/>
  </si>
  <si>
    <t>항목</t>
    <phoneticPr fontId="33" type="noConversion"/>
  </si>
  <si>
    <t>확인 사항</t>
    <phoneticPr fontId="33" type="noConversion"/>
  </si>
  <si>
    <t>예</t>
    <phoneticPr fontId="33" type="noConversion"/>
  </si>
  <si>
    <t>아니오</t>
  </si>
  <si>
    <t>아니오</t>
    <phoneticPr fontId="33" type="noConversion"/>
  </si>
  <si>
    <t>NO</t>
    <phoneticPr fontId="2" type="noConversion"/>
  </si>
  <si>
    <t>YES</t>
  </si>
  <si>
    <t>YES</t>
    <phoneticPr fontId="2" type="noConversion"/>
  </si>
  <si>
    <t>평가기준일 퇴사자</t>
    <phoneticPr fontId="33" type="noConversion"/>
  </si>
  <si>
    <t>(2-3)
퇴직자명부</t>
    <phoneticPr fontId="34" type="noConversion"/>
  </si>
  <si>
    <t>시트</t>
    <phoneticPr fontId="2" type="noConversion"/>
  </si>
  <si>
    <t>답변(드롭박스에서 선택)</t>
    <phoneticPr fontId="2" type="noConversion"/>
  </si>
  <si>
    <r>
      <t xml:space="preserve">YES인 경우, 아래 </t>
    </r>
    <r>
      <rPr>
        <sz val="10"/>
        <color indexed="10"/>
        <rFont val="맑은 고딕"/>
        <family val="3"/>
        <charset val="129"/>
      </rPr>
      <t>"9. 특이사항"에 세부내용 명시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</si>
  <si>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(1-2) 기초자료
_퇴직급여</t>
    <phoneticPr fontId="33" type="noConversion"/>
  </si>
  <si>
    <t>퇴직금 계산에 적용하는 근무기간이 1년을 초과하는 기간을
처리하는 기준, 월할(절사) / 월할(절상) / 일할 등 택1 명시
예) 근무기간 5년 3개월 14일
     월할(절상) : 5년 4개월 / 일할 : 5년 3개월 14일</t>
    <phoneticPr fontId="2" type="noConversion"/>
  </si>
  <si>
    <t>기타장기종업원급여</t>
    <phoneticPr fontId="33" type="noConversion"/>
  </si>
  <si>
    <t>연봉제/호봉제</t>
    <phoneticPr fontId="33" type="noConversion"/>
  </si>
  <si>
    <t>채권등급</t>
    <phoneticPr fontId="33" type="noConversion"/>
  </si>
  <si>
    <r>
      <t xml:space="preserve">드롭박스에서 선택
누진제인 경우, </t>
    </r>
    <r>
      <rPr>
        <sz val="10"/>
        <color indexed="10"/>
        <rFont val="맑은 고딕"/>
        <family val="3"/>
        <charset val="129"/>
      </rPr>
      <t>아래 "9. 특이사항"에 세부내용 명시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</si>
  <si>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법정제</t>
  </si>
  <si>
    <t>법정제</t>
    <phoneticPr fontId="26" type="noConversion"/>
  </si>
  <si>
    <t>예 (호봉제)</t>
    <phoneticPr fontId="2" type="noConversion"/>
  </si>
  <si>
    <t>아니오 (연봉제)</t>
  </si>
  <si>
    <t>아니오 (연봉제)</t>
    <phoneticPr fontId="2" type="noConversion"/>
  </si>
  <si>
    <t>☞ FALSE일 경우 명부와 자료 불일치. 확인 부탁드립니다.</t>
    <phoneticPr fontId="2" type="noConversion"/>
  </si>
  <si>
    <t>1. 기타장기종업원급여 지급규정</t>
    <phoneticPr fontId="2" type="noConversion"/>
  </si>
  <si>
    <t>- 관련규정을 다음과 같이 요약하여 주시기 바랍니다.</t>
    <phoneticPr fontId="2" type="noConversion"/>
  </si>
  <si>
    <t>- 아래 양식 이외에 필요한 정보가 있으면 양식에 추가하여 작성하여 주시기 바랍니다.</t>
    <phoneticPr fontId="2" type="noConversion"/>
  </si>
  <si>
    <t>- 아래의 표는 예시로 작성된 것이며, 귀사의 규정에 맞게 수정하여 주시면 됩니다.</t>
    <phoneticPr fontId="2" type="noConversion"/>
  </si>
  <si>
    <t>( 예시 )</t>
    <phoneticPr fontId="2" type="noConversion"/>
  </si>
  <si>
    <t>근속년수</t>
    <phoneticPr fontId="2" type="noConversion"/>
  </si>
  <si>
    <t>지급액</t>
    <phoneticPr fontId="2" type="noConversion"/>
  </si>
  <si>
    <t>지급기준</t>
    <phoneticPr fontId="2" type="noConversion"/>
  </si>
  <si>
    <t>지급방법</t>
    <phoneticPr fontId="2" type="noConversion"/>
  </si>
  <si>
    <t>기타</t>
    <phoneticPr fontId="2" type="noConversion"/>
  </si>
  <si>
    <t>10년 근속상</t>
  </si>
  <si>
    <t>금 5돈</t>
    <phoneticPr fontId="2" type="noConversion"/>
  </si>
  <si>
    <t>8월중 일괄지급, 만 10년 근무자</t>
  </si>
  <si>
    <t>금 또는 금에 해당하는 복리포인트</t>
    <phoneticPr fontId="2" type="noConversion"/>
  </si>
  <si>
    <t>15년 근속상</t>
  </si>
  <si>
    <t>8월중 일괄지급, 만 15년 근무자</t>
  </si>
  <si>
    <t>20년 근속상</t>
  </si>
  <si>
    <t>금 10돈, 여행경비(통상급여의 60%)</t>
    <phoneticPr fontId="2" type="noConversion"/>
  </si>
  <si>
    <t>8월중 일괄지급, 만 20년 근무자</t>
    <phoneticPr fontId="2" type="noConversion"/>
  </si>
  <si>
    <t>금 또는 금에 해당하는 복리포인트</t>
    <phoneticPr fontId="2" type="noConversion"/>
  </si>
  <si>
    <t>25년 근속상</t>
  </si>
  <si>
    <t>금 20돈, 여행경비(통상급여의 70%)</t>
    <phoneticPr fontId="2" type="noConversion"/>
  </si>
  <si>
    <t>8월중 일괄지급, 만 25년 근무자</t>
    <phoneticPr fontId="2" type="noConversion"/>
  </si>
  <si>
    <t>여행권 지급 또는 여행권에 해당하는 복리포인트</t>
    <phoneticPr fontId="2" type="noConversion"/>
  </si>
  <si>
    <t>2. 기타장기종업원급여 지급내역 (최근 3년)</t>
    <phoneticPr fontId="2" type="noConversion"/>
  </si>
  <si>
    <t>- 아래 양식이 적합하지 않으면 양식을 변경하여 작성하여 주시기 바랍니다.</t>
    <phoneticPr fontId="2" type="noConversion"/>
  </si>
  <si>
    <t>- 인원은 명, 금액은 원입니다. 단위를 확인하여 주시기 바랍니다.</t>
    <phoneticPr fontId="2" type="noConversion"/>
  </si>
  <si>
    <t>- 과거 3년 동안, 연도별 지급내역을 기록하여 주십시오 (기간은 회사가 비용으로 처리한 날짜 기준입니다)</t>
    <phoneticPr fontId="2" type="noConversion"/>
  </si>
  <si>
    <t>- 아래의 표는 예시로 작성된 것이며, 예시를 참고로 하여 귀사의 실제 지급내역을 입력해 주시기 바랍니다.</t>
    <phoneticPr fontId="2" type="noConversion"/>
  </si>
  <si>
    <t>&lt;작성방법&gt;</t>
    <phoneticPr fontId="2" type="noConversion"/>
  </si>
  <si>
    <t xml:space="preserve">① 근속자(명) </t>
    <phoneticPr fontId="2" type="noConversion"/>
  </si>
  <si>
    <t>해당인원 수 기재</t>
    <phoneticPr fontId="2" type="noConversion"/>
  </si>
  <si>
    <t>② 장기근속 축하금</t>
    <phoneticPr fontId="2" type="noConversion"/>
  </si>
  <si>
    <t>실적 발생금액 합계</t>
    <phoneticPr fontId="2" type="noConversion"/>
  </si>
  <si>
    <t>③ 세부내역</t>
    <phoneticPr fontId="2" type="noConversion"/>
  </si>
  <si>
    <t>포인트, 현금, 실물(금, 또는 여행권) 지급 여부 기재</t>
    <phoneticPr fontId="2" type="noConversion"/>
  </si>
  <si>
    <t>근속년수</t>
    <phoneticPr fontId="2" type="noConversion"/>
  </si>
  <si>
    <t>근속자(명)</t>
    <phoneticPr fontId="2" type="noConversion"/>
  </si>
  <si>
    <t>장기근속축하금(합계, 원)</t>
    <phoneticPr fontId="2" type="noConversion"/>
  </si>
  <si>
    <t xml:space="preserve">  세부 내역</t>
    <phoneticPr fontId="2" type="noConversion"/>
  </si>
  <si>
    <t>합계</t>
    <phoneticPr fontId="2" type="noConversion"/>
  </si>
  <si>
    <t>사외적립자산</t>
    <phoneticPr fontId="36" type="noConversion"/>
  </si>
  <si>
    <t>국민연금전환금</t>
    <phoneticPr fontId="36" type="noConversion"/>
  </si>
  <si>
    <t>정년</t>
    <phoneticPr fontId="36" type="noConversion"/>
  </si>
  <si>
    <t>1년미만 근무기간 처리방법</t>
    <phoneticPr fontId="36" type="noConversion"/>
  </si>
  <si>
    <t>임금상승률</t>
    <phoneticPr fontId="36" type="noConversion"/>
  </si>
  <si>
    <r>
      <rPr>
        <u/>
        <sz val="10"/>
        <color indexed="10"/>
        <rFont val="맑은 고딕"/>
        <family val="3"/>
        <charset val="129"/>
      </rPr>
      <t>(1_1) 기초자료_퇴직급여 시트</t>
    </r>
    <r>
      <rPr>
        <sz val="10"/>
        <color indexed="8"/>
        <rFont val="맑은 고딕"/>
        <family val="3"/>
        <charset val="129"/>
      </rPr>
      <t>에서 다음 사항 누락되었습니다. 기재 부탁드립니다.</t>
    </r>
    <phoneticPr fontId="36" type="noConversion"/>
  </si>
  <si>
    <t>빈칸 있는 곳 확인하여 채워 달라고 전달.</t>
    <phoneticPr fontId="36" type="noConversion"/>
  </si>
  <si>
    <t>다음 재직자 분들은 평균임금이 1,000,000원 미만입니다.</t>
    <phoneticPr fontId="36" type="noConversion"/>
  </si>
  <si>
    <t>회사 정책상 그러 할 수 있으나, 확인 부탁드립니다.</t>
    <phoneticPr fontId="36" type="noConversion"/>
  </si>
  <si>
    <t>사원번호</t>
    <phoneticPr fontId="36" type="noConversion"/>
  </si>
  <si>
    <t>평균임금</t>
    <phoneticPr fontId="36" type="noConversion"/>
  </si>
  <si>
    <r>
      <rPr>
        <u/>
        <sz val="10"/>
        <color indexed="10"/>
        <rFont val="맑은 고딕"/>
        <family val="3"/>
        <charset val="129"/>
      </rPr>
      <t>(2-2) 재직자 명부 시트</t>
    </r>
    <r>
      <rPr>
        <sz val="10"/>
        <color indexed="8"/>
        <rFont val="맑은 고딕"/>
        <family val="3"/>
        <charset val="129"/>
      </rPr>
      <t>에서 다음사항 확인 부탁드립니다.</t>
    </r>
    <phoneticPr fontId="36" type="noConversion"/>
  </si>
  <si>
    <t>기준급여</t>
    <phoneticPr fontId="2" type="noConversion"/>
  </si>
  <si>
    <t>평가기준일 퇴사자</t>
  </si>
  <si>
    <t>중간정산 대상자</t>
    <phoneticPr fontId="2" type="noConversion"/>
  </si>
  <si>
    <t>(2-2)
재직자명부</t>
    <phoneticPr fontId="2" type="noConversion"/>
  </si>
  <si>
    <t>1년 미만 재직자</t>
    <phoneticPr fontId="2" type="noConversion"/>
  </si>
  <si>
    <t>1년 미만 재직자도 기재 하셨습니까?</t>
    <phoneticPr fontId="2" type="noConversion"/>
  </si>
  <si>
    <t>퇴직금 추계액</t>
    <phoneticPr fontId="2" type="noConversion"/>
  </si>
  <si>
    <t>회사채AA+</t>
  </si>
  <si>
    <t>(2-1) 명부 작성방법</t>
    <phoneticPr fontId="2" type="noConversion"/>
  </si>
  <si>
    <t>☞ 모든 항목은 필수 입력 사항입니다.</t>
    <phoneticPr fontId="2" type="noConversion"/>
  </si>
  <si>
    <t>☞ 명부는 "(2-2) 재직자 명부", "(2-3) 퇴직자 및 DC 전환자 명부", "(2-3) 추가 명부" 로 구분됩니다.</t>
    <phoneticPr fontId="2" type="noConversion"/>
  </si>
  <si>
    <t>구분</t>
    <phoneticPr fontId="3" type="noConversion"/>
  </si>
  <si>
    <t>항목명</t>
    <phoneticPr fontId="3" type="noConversion"/>
  </si>
  <si>
    <t xml:space="preserve">   작성방법</t>
    <phoneticPr fontId="3" type="noConversion"/>
  </si>
  <si>
    <t>공통</t>
    <phoneticPr fontId="2" type="noConversion"/>
  </si>
  <si>
    <t>평가기준일을 기준으로 작성
양식 변경 절대 불가
1년 미만 근속 재직자 포함
퇴직금을 지급하지 않는 재직자 제외
DC 또는 IRP 제도 가입자는 제외</t>
    <phoneticPr fontId="3" type="noConversion"/>
  </si>
  <si>
    <t>사원번호</t>
    <phoneticPr fontId="3" type="noConversion"/>
  </si>
  <si>
    <t>생년월일</t>
    <phoneticPr fontId="3" type="noConversion"/>
  </si>
  <si>
    <t>yyyymmdd 형식</t>
    <phoneticPr fontId="2" type="noConversion"/>
  </si>
  <si>
    <t>성별</t>
    <phoneticPr fontId="3" type="noConversion"/>
  </si>
  <si>
    <t>남 : 1, 여 : 2</t>
    <phoneticPr fontId="2" type="noConversion"/>
  </si>
  <si>
    <t>입사일자</t>
    <phoneticPr fontId="3" type="noConversion"/>
  </si>
  <si>
    <t>yyyymmdd 형식, 최초 입사일자 (퇴직금 산정 기준일) 입력</t>
    <phoneticPr fontId="2" type="noConversion"/>
  </si>
  <si>
    <t>재직자
명부</t>
    <phoneticPr fontId="2" type="noConversion"/>
  </si>
  <si>
    <t>기준급여</t>
    <phoneticPr fontId="3" type="noConversion"/>
  </si>
  <si>
    <t>퇴직금 지급의 기준이 되는 월 기준급여 입력 (예: 법정제인 경우 평균임금)</t>
    <phoneticPr fontId="3" type="noConversion"/>
  </si>
  <si>
    <t>당년도 퇴직금추계액</t>
    <phoneticPr fontId="3" type="noConversion"/>
  </si>
  <si>
    <r>
      <t xml:space="preserve">사규에서 정하는 퇴직금 추계액 입력(평가기준일 기준)
</t>
    </r>
    <r>
      <rPr>
        <b/>
        <sz val="10"/>
        <color indexed="10"/>
        <rFont val="맑은 고딕"/>
        <family val="3"/>
        <charset val="129"/>
      </rPr>
      <t>임원, 계약직은 필수 입력</t>
    </r>
    <phoneticPr fontId="3" type="noConversion"/>
  </si>
  <si>
    <t>차년도 퇴직금추계액</t>
    <phoneticPr fontId="3" type="noConversion"/>
  </si>
  <si>
    <r>
      <t xml:space="preserve">사규에서 정하는 차년도퇴직금추계액 입력(평가기준일로 부터 1년후 퇴직을 가정)
</t>
    </r>
    <r>
      <rPr>
        <b/>
        <sz val="10"/>
        <color indexed="10"/>
        <rFont val="맑은 고딕"/>
        <family val="3"/>
        <charset val="129"/>
      </rPr>
      <t>임원, 계약직은 필수 입력</t>
    </r>
    <phoneticPr fontId="3" type="noConversion"/>
  </si>
  <si>
    <t>종업원 구분</t>
    <phoneticPr fontId="3" type="noConversion"/>
  </si>
  <si>
    <t>일반직: 1, 임원: 3, 계약직: 4
계약직이라도 정규직의 퇴직금규정을 적용하고 
정년이 일반직과 동일한 경우 2 입력(직종 3, 4는 정년이 적용되지 않음)</t>
    <phoneticPr fontId="3" type="noConversion"/>
  </si>
  <si>
    <t>중간정산기준일</t>
    <phoneticPr fontId="3" type="noConversion"/>
  </si>
  <si>
    <r>
      <rPr>
        <b/>
        <sz val="10"/>
        <color indexed="10"/>
        <rFont val="맑은 고딕"/>
        <family val="3"/>
        <charset val="129"/>
      </rPr>
      <t>입사 후 중간정산 한 적이 있는 경우 반드시 입력</t>
    </r>
    <r>
      <rPr>
        <sz val="10"/>
        <rFont val="맑은 고딕"/>
        <family val="3"/>
        <charset val="129"/>
      </rPr>
      <t xml:space="preserve">
중간정산일 당일 입력
여러 번 중간정산한 경우</t>
    </r>
    <r>
      <rPr>
        <sz val="10"/>
        <color indexed="10"/>
        <rFont val="맑은 고딕"/>
        <family val="3"/>
        <charset val="129"/>
      </rPr>
      <t xml:space="preserve"> </t>
    </r>
    <r>
      <rPr>
        <b/>
        <sz val="10"/>
        <color indexed="10"/>
        <rFont val="맑은 고딕"/>
        <family val="3"/>
        <charset val="129"/>
      </rPr>
      <t>최종 중간정산일자</t>
    </r>
    <r>
      <rPr>
        <sz val="10"/>
        <rFont val="맑은 고딕"/>
        <family val="3"/>
        <charset val="129"/>
      </rPr>
      <t xml:space="preserve"> 입력 </t>
    </r>
    <phoneticPr fontId="3" type="noConversion"/>
  </si>
  <si>
    <t>중간정산액</t>
    <phoneticPr fontId="2" type="noConversion"/>
  </si>
  <si>
    <t>제도구분</t>
    <phoneticPr fontId="2" type="noConversion"/>
  </si>
  <si>
    <r>
      <rPr>
        <b/>
        <sz val="10"/>
        <color indexed="10"/>
        <rFont val="맑은 고딕"/>
        <family val="3"/>
        <charset val="129"/>
      </rPr>
      <t>퇴직금 제도가 구분</t>
    </r>
    <r>
      <rPr>
        <sz val="10"/>
        <rFont val="맑은 고딕"/>
        <family val="3"/>
        <charset val="129"/>
      </rPr>
      <t xml:space="preserve"> 되어 적용되는 경우 </t>
    </r>
    <r>
      <rPr>
        <b/>
        <sz val="10"/>
        <color indexed="10"/>
        <rFont val="맑은 고딕"/>
        <family val="3"/>
        <charset val="129"/>
      </rPr>
      <t>숫자로 구분</t>
    </r>
    <r>
      <rPr>
        <sz val="10"/>
        <rFont val="맑은 고딕"/>
        <family val="3"/>
        <charset val="129"/>
      </rPr>
      <t xml:space="preserve"> (1,2,3..)
구분되지 않는 경우는 입력하지 않아도 됨 
(예  생산: 1 , 사무직: 2)</t>
    </r>
    <phoneticPr fontId="2" type="noConversion"/>
  </si>
  <si>
    <t>퇴직자 및
DC전환자
명부</t>
    <phoneticPr fontId="2" type="noConversion"/>
  </si>
  <si>
    <r>
      <rPr>
        <b/>
        <sz val="10"/>
        <color indexed="10"/>
        <rFont val="맑은 고딕"/>
        <family val="3"/>
        <charset val="129"/>
      </rPr>
      <t>300인 이상인</t>
    </r>
    <r>
      <rPr>
        <b/>
        <sz val="10"/>
        <color indexed="10"/>
        <rFont val="맑은 고딕"/>
        <family val="3"/>
        <charset val="129"/>
      </rPr>
      <t xml:space="preserve"> 기업의</t>
    </r>
    <r>
      <rPr>
        <b/>
        <sz val="10"/>
        <color indexed="10"/>
        <rFont val="맑은 고딕"/>
        <family val="3"/>
        <charset val="129"/>
      </rPr>
      <t xml:space="preserve"> 경우 3년치</t>
    </r>
    <r>
      <rPr>
        <b/>
        <sz val="10"/>
        <color indexed="10"/>
        <rFont val="맑은 고딕"/>
        <family val="3"/>
        <charset val="129"/>
      </rPr>
      <t>(평가기준일 직전 3년간)</t>
    </r>
    <r>
      <rPr>
        <b/>
        <sz val="10"/>
        <color indexed="10"/>
        <rFont val="맑은 고딕"/>
        <family val="3"/>
        <charset val="129"/>
      </rPr>
      <t xml:space="preserve"> 퇴직자명부 작성</t>
    </r>
    <r>
      <rPr>
        <sz val="10"/>
        <rFont val="맑은 고딕"/>
        <family val="3"/>
        <charset val="129"/>
      </rPr>
      <t xml:space="preserve">
300인 미만인 경우 해당 회계년도의 퇴직자만 작성</t>
    </r>
    <phoneticPr fontId="2" type="noConversion"/>
  </si>
  <si>
    <t xml:space="preserve">  퇴직일 / DC전환일</t>
    <phoneticPr fontId="2" type="noConversion"/>
  </si>
  <si>
    <t>퇴직일 또는 DC 전환일 입력</t>
    <phoneticPr fontId="2" type="noConversion"/>
  </si>
  <si>
    <t>사유</t>
    <phoneticPr fontId="2" type="noConversion"/>
  </si>
  <si>
    <t>1: 퇴직, 2: DC전환 구분 입력</t>
    <phoneticPr fontId="2" type="noConversion"/>
  </si>
  <si>
    <t>제도구분</t>
    <phoneticPr fontId="2" type="noConversion"/>
  </si>
  <si>
    <t>퇴직금 제도가 구분 되어 적용되는 경우 숫자로 구분 (1,2,3..)
구분되지 않는 경우는 입력하지 않아도 됨 
(예  생산: 1 , 사무직: 2)</t>
    <phoneticPr fontId="2" type="noConversion"/>
  </si>
  <si>
    <t>추가
명부</t>
    <phoneticPr fontId="2" type="noConversion"/>
  </si>
  <si>
    <t>유의적인 채무 변동이 있을 경우 변동 원인을 평가하여 반영하기 위한 명부</t>
    <phoneticPr fontId="2" type="noConversion"/>
  </si>
  <si>
    <t>기준급여, 직종, 중간정산일</t>
    <phoneticPr fontId="2" type="noConversion"/>
  </si>
  <si>
    <t>재직자 명부와 동일한 방식으로 작성</t>
    <phoneticPr fontId="2" type="noConversion"/>
  </si>
  <si>
    <t>사유발생일 시점 퇴직금추계액</t>
    <phoneticPr fontId="2" type="noConversion"/>
  </si>
  <si>
    <t>사유발생일 시점에 퇴직 시 지급하여야 하는 퇴직금 입력</t>
    <phoneticPr fontId="2" type="noConversion"/>
  </si>
  <si>
    <t xml:space="preserve">사유 </t>
    <phoneticPr fontId="2" type="noConversion"/>
  </si>
  <si>
    <t>1: 관계사전입, 2: 관계사전출, 3: 사업결합, 4: 사업처분, 5: 기타장기종업원
해당사항 숫자로 입력</t>
    <phoneticPr fontId="2" type="noConversion"/>
  </si>
  <si>
    <t>참고사항</t>
    <phoneticPr fontId="2" type="noConversion"/>
  </si>
  <si>
    <t>사원번호</t>
    <phoneticPr fontId="3" type="noConversion"/>
  </si>
  <si>
    <t>생년월일</t>
    <phoneticPr fontId="2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</si>
  <si>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2" type="noConversion"/>
  </si>
  <si>
    <t>입사일자</t>
    <phoneticPr fontId="3" type="noConversion"/>
  </si>
  <si>
    <t>기준급여</t>
    <phoneticPr fontId="3" type="noConversion"/>
  </si>
  <si>
    <t>당년도
퇴직금추계액</t>
    <phoneticPr fontId="3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</si>
  <si>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</si>
  <si>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" type="noConversion"/>
  </si>
  <si>
    <t>중간정산기준일</t>
    <phoneticPr fontId="3" type="noConversion"/>
  </si>
  <si>
    <t>중간정산액</t>
    <phoneticPr fontId="2" type="noConversion"/>
  </si>
  <si>
    <t>제도구분
(1,2,3)</t>
    <phoneticPr fontId="3" type="noConversion"/>
  </si>
  <si>
    <t>적용배수</t>
    <phoneticPr fontId="3" type="noConversion"/>
  </si>
  <si>
    <t>입사일자</t>
    <phoneticPr fontId="3" type="noConversion"/>
  </si>
  <si>
    <t>최초 입사일자 입력</t>
    <phoneticPr fontId="2" type="noConversion"/>
  </si>
  <si>
    <t>기준급여</t>
    <phoneticPr fontId="3" type="noConversion"/>
  </si>
  <si>
    <t>퇴직금 계산시 사용되는 평균임금</t>
    <phoneticPr fontId="2" type="noConversion"/>
  </si>
  <si>
    <t>당년도 퇴직금추계액</t>
    <phoneticPr fontId="3" type="noConversion"/>
  </si>
  <si>
    <t>작성기준일 현재 퇴직시 지급하는 퇴직금</t>
    <phoneticPr fontId="2" type="noConversion"/>
  </si>
  <si>
    <t>(임원, 계약직 필수 입력)</t>
    <phoneticPr fontId="2" type="noConversion"/>
  </si>
  <si>
    <t>차년도 퇴직금추계액</t>
    <phoneticPr fontId="3" type="noConversion"/>
  </si>
  <si>
    <t>작성기준일로부터 1년 후 퇴직시 지급하는 퇴직금</t>
    <phoneticPr fontId="2" type="noConversion"/>
  </si>
  <si>
    <t>중간정산기준일</t>
    <phoneticPr fontId="3" type="noConversion"/>
  </si>
  <si>
    <t>입사 후 중간정산한 적이 있는 경우 반드시 입력</t>
    <phoneticPr fontId="2" type="noConversion"/>
  </si>
  <si>
    <t>입사 후 중간정산한 적이 있는 경우 반드시 입력</t>
    <phoneticPr fontId="2" type="noConversion"/>
  </si>
  <si>
    <t>중간정산 당일로 입력</t>
    <phoneticPr fontId="2" type="noConversion"/>
  </si>
  <si>
    <t>중간정산액</t>
    <phoneticPr fontId="3" type="noConversion"/>
  </si>
  <si>
    <t>그 외 중간정산자는 입력하지 않아도 됨</t>
    <phoneticPr fontId="2" type="noConversion"/>
  </si>
  <si>
    <t>제도구분</t>
    <phoneticPr fontId="3" type="noConversion"/>
  </si>
  <si>
    <t>구분되는 제도를 반영하는 경우 입력 (숫자기입)</t>
    <phoneticPr fontId="2" type="noConversion"/>
  </si>
  <si>
    <t>적용배수</t>
    <phoneticPr fontId="3" type="noConversion"/>
  </si>
  <si>
    <t>임원의 경우 적용 배수 입력 ( 예: 1.5, 2, 3... )</t>
    <phoneticPr fontId="2" type="noConversion"/>
  </si>
  <si>
    <t>기타</t>
    <phoneticPr fontId="2" type="noConversion"/>
  </si>
  <si>
    <t>전액 확정기여형(DC) 제도 가입자는 제외</t>
    <phoneticPr fontId="2" type="noConversion"/>
  </si>
  <si>
    <t>1년 미만 재직자도 입력</t>
    <phoneticPr fontId="2" type="noConversion"/>
  </si>
  <si>
    <t>기준급여 * 지급률 = 당년도 퇴직금추계액</t>
    <phoneticPr fontId="2" type="noConversion"/>
  </si>
  <si>
    <t>참고사항</t>
    <phoneticPr fontId="2" type="noConversion"/>
  </si>
  <si>
    <t>생년월일</t>
    <phoneticPr fontId="2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</si>
  <si>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2" type="noConversion"/>
  </si>
  <si>
    <t>퇴직일
또는 DC전환일</t>
    <phoneticPr fontId="3" type="noConversion"/>
  </si>
  <si>
    <t>퇴직금
또는 DC전환금</t>
    <phoneticPr fontId="3" type="noConversion"/>
  </si>
  <si>
    <r>
      <t xml:space="preserve">사유
</t>
    </r>
    <r>
      <rPr>
        <b/>
        <sz val="8"/>
        <rFont val="맑은 고딕"/>
        <family val="3"/>
        <charset val="129"/>
      </rPr>
      <t>(1: 퇴직, 2: DC전환)</t>
    </r>
    <phoneticPr fontId="2" type="noConversion"/>
  </si>
  <si>
    <t>제도구분
(1,2,3)</t>
    <phoneticPr fontId="2" type="noConversion"/>
  </si>
  <si>
    <t>해당 회계연도에 발생한 사항 입력</t>
    <phoneticPr fontId="2" type="noConversion"/>
  </si>
  <si>
    <t>퇴직금(DC전환금)이 0인 경우에도 입력</t>
    <phoneticPr fontId="2" type="noConversion"/>
  </si>
  <si>
    <t>전액 확정기여형(DC)을 가입한 퇴직자 제외</t>
    <phoneticPr fontId="2" type="noConversion"/>
  </si>
  <si>
    <t>참고사항</t>
    <phoneticPr fontId="2" type="noConversion"/>
  </si>
  <si>
    <t>사원번호</t>
    <phoneticPr fontId="3" type="noConversion"/>
  </si>
  <si>
    <t>생년월일</t>
    <phoneticPr fontId="2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</si>
  <si>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2" type="noConversion"/>
  </si>
  <si>
    <t>입사일자</t>
    <phoneticPr fontId="3" type="noConversion"/>
  </si>
  <si>
    <t>기준급여</t>
    <phoneticPr fontId="3" type="noConversion"/>
  </si>
  <si>
    <t>사유발생일 시점
발생금액</t>
    <phoneticPr fontId="3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</si>
  <si>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" type="noConversion"/>
  </si>
  <si>
    <t>중간정산기준일</t>
    <phoneticPr fontId="3" type="noConversion"/>
  </si>
  <si>
    <r>
      <t xml:space="preserve">사유
</t>
    </r>
    <r>
      <rPr>
        <b/>
        <sz val="8"/>
        <rFont val="맑은 고딕"/>
        <family val="3"/>
        <charset val="129"/>
      </rPr>
      <t>(1:관계사전입, 2:관계사전출, 
3:사업결합, 4:사업처분
5:기타장기종업원)</t>
    </r>
    <phoneticPr fontId="3" type="noConversion"/>
  </si>
  <si>
    <t>사유발생일</t>
    <phoneticPr fontId="2" type="noConversion"/>
  </si>
  <si>
    <t>아래의 사항에 해당하는 경우 입력</t>
    <phoneticPr fontId="2" type="noConversion"/>
  </si>
  <si>
    <t>: 축소, 정산, 사업결합, 사업분할</t>
    <phoneticPr fontId="2" type="noConversion"/>
  </si>
  <si>
    <t>해당 사유 발생일을 기준으로 입력</t>
    <phoneticPr fontId="2" type="noConversion"/>
  </si>
  <si>
    <t>사유 발생일 기준</t>
    <phoneticPr fontId="2" type="noConversion"/>
  </si>
  <si>
    <t>***작성 완료 후 최종 확인사항</t>
    <phoneticPr fontId="33" type="noConversion"/>
  </si>
  <si>
    <r>
      <t xml:space="preserve">  </t>
    </r>
    <r>
      <rPr>
        <b/>
        <u/>
        <sz val="10"/>
        <color indexed="10"/>
        <rFont val="맑은 고딕"/>
        <family val="3"/>
        <charset val="129"/>
      </rPr>
      <t>아니오</t>
    </r>
    <r>
      <rPr>
        <b/>
        <sz val="10"/>
        <color indexed="8"/>
        <rFont val="맑은 고딕"/>
        <family val="3"/>
        <charset val="129"/>
      </rPr>
      <t xml:space="preserve"> 선택 시, (1_2) 기초자료_퇴직급여와 명부 시트에서 해당사항 수정 부탁드립니다.</t>
    </r>
    <phoneticPr fontId="33" type="noConversion"/>
  </si>
  <si>
    <t xml:space="preserve">  기초자료와 명부 작성 완료 후 아래 표에서 최종확인 부탁드립니다.</t>
    <phoneticPr fontId="33" type="noConversion"/>
  </si>
  <si>
    <t>NO</t>
  </si>
  <si>
    <t>(1-2) 퇴직급여채무 평가를 위한 기초자료</t>
    <phoneticPr fontId="2" type="noConversion"/>
  </si>
  <si>
    <r>
      <t xml:space="preserve">장기근속포상, 퇴직위로금 등이 있는 경우 YES 선택
YES 인 경우, </t>
    </r>
    <r>
      <rPr>
        <sz val="10"/>
        <color indexed="10"/>
        <rFont val="맑은 고딕"/>
        <family val="3"/>
        <charset val="129"/>
      </rPr>
      <t>"(1-3) 기초자료_기타장기종업원급여"</t>
    </r>
    <r>
      <rPr>
        <sz val="10"/>
        <rFont val="맑은 고딕"/>
        <family val="3"/>
        <charset val="129"/>
      </rPr>
      <t xml:space="preserve"> 작성 필요</t>
    </r>
    <phoneticPr fontId="2" type="noConversion"/>
  </si>
  <si>
    <r>
      <t xml:space="preserve">Y (Yes)인 경우 </t>
    </r>
    <r>
      <rPr>
        <sz val="10"/>
        <color indexed="10"/>
        <rFont val="맑은 고딕"/>
        <family val="3"/>
        <charset val="129"/>
      </rPr>
      <t>위의 "2.", "3." 양식에 입력</t>
    </r>
    <r>
      <rPr>
        <sz val="10"/>
        <rFont val="맑은 고딕"/>
        <family val="3"/>
        <charset val="129"/>
      </rPr>
      <t xml:space="preserve"> 필요
아래</t>
    </r>
    <r>
      <rPr>
        <sz val="10"/>
        <color indexed="10"/>
        <rFont val="맑은 고딕"/>
        <family val="3"/>
        <charset val="129"/>
      </rPr>
      <t xml:space="preserve"> "9. 특이사항"에 세부내용 명시</t>
    </r>
    <r>
      <rPr>
        <sz val="10"/>
        <rFont val="맑은 고딕"/>
        <family val="3"/>
        <charset val="129"/>
      </rPr>
      <t xml:space="preserve"> 필요
</t>
    </r>
    <r>
      <rPr>
        <sz val="10"/>
        <color indexed="10"/>
        <rFont val="맑은 고딕"/>
        <family val="3"/>
        <charset val="129"/>
      </rPr>
      <t>해당자는 "(2-4) 추가 명부" 작성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</si>
  <si>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(1-3) 기타장기종업원급여채무 평가를 위한 기초자료</t>
    <phoneticPr fontId="2" type="noConversion"/>
  </si>
  <si>
    <r>
      <t xml:space="preserve">   IFRS 퇴직급여채무평가 대상은 </t>
    </r>
    <r>
      <rPr>
        <b/>
        <sz val="10"/>
        <rFont val="맑은 고딕"/>
        <family val="3"/>
        <charset val="129"/>
      </rPr>
      <t>DC(IRP 포함)에 가입한 재직자를 제외한 전 종업원(1년 미만 근속자 포함)</t>
    </r>
    <r>
      <rPr>
        <sz val="10"/>
        <rFont val="맑은 고딕"/>
        <family val="3"/>
        <charset val="129"/>
      </rPr>
      <t xml:space="preserve">입니다. </t>
    </r>
    <phoneticPr fontId="2" type="noConversion"/>
  </si>
  <si>
    <t>근퇴법 시행령 제3조에(퇴직금 중간정산 사유)에 해당됩니까?</t>
    <phoneticPr fontId="2" type="noConversion"/>
  </si>
  <si>
    <t>퇴직금제도</t>
    <phoneticPr fontId="33" type="noConversion"/>
  </si>
  <si>
    <t>채권등급</t>
    <phoneticPr fontId="36" type="noConversion"/>
  </si>
  <si>
    <t xml:space="preserve">☞ 첨부된 Sheet의 양식 대로 작성하여 주시기 바랍니다. </t>
    <phoneticPr fontId="2" type="noConversion"/>
  </si>
  <si>
    <r>
      <t xml:space="preserve">    기존에 평가를 받은 적이 없는 경우는 </t>
    </r>
    <r>
      <rPr>
        <sz val="10"/>
        <color indexed="10"/>
        <rFont val="맑은 고딕"/>
        <family val="3"/>
        <charset val="129"/>
      </rPr>
      <t>회계사(감사인)께 문의하시면 확인</t>
    </r>
    <r>
      <rPr>
        <sz val="10"/>
        <color indexed="8"/>
        <rFont val="맑은 고딕"/>
        <family val="3"/>
        <charset val="129"/>
      </rPr>
      <t xml:space="preserve"> 가능합니다.</t>
    </r>
    <phoneticPr fontId="2" type="noConversion"/>
  </si>
  <si>
    <t>모든 재직자의 당년도, 차년도 퇴직금 추계액을 입력하셨습니까?
(1년 미만 재직자의 경우 일할 계산)</t>
    <phoneticPr fontId="2" type="noConversion"/>
  </si>
  <si>
    <t>3개월 미만 재직자의 경우 한달 근무 시 지급받는 급여로 기재 하셨습니까?</t>
    <phoneticPr fontId="2" type="noConversion"/>
  </si>
  <si>
    <t>기타</t>
  </si>
  <si>
    <t>☞ 평가일로부터 1년 후 (다음 회계년도 말) 회사가 계획하는 사외자산 적립비율을 선택하여 주십시오. (기타의 경우 별도 기입)</t>
    <phoneticPr fontId="2" type="noConversion"/>
  </si>
  <si>
    <t>%</t>
    <phoneticPr fontId="2" type="noConversion"/>
  </si>
  <si>
    <t>평가기준일 발생 퇴직금을 비용(미지급 포함) 처리 하셨습니까?</t>
    <phoneticPr fontId="2" type="noConversion"/>
  </si>
  <si>
    <r>
      <t xml:space="preserve">다음 중 </t>
    </r>
    <r>
      <rPr>
        <sz val="10"/>
        <color indexed="10"/>
        <rFont val="맑은 고딕"/>
        <family val="3"/>
        <charset val="129"/>
      </rPr>
      <t>해당사항이 있는 경우에만</t>
    </r>
    <r>
      <rPr>
        <sz val="10"/>
        <rFont val="맑은 고딕"/>
        <family val="3"/>
        <charset val="129"/>
      </rPr>
      <t xml:space="preserve"> 입력 </t>
    </r>
    <r>
      <rPr>
        <b/>
        <sz val="10"/>
        <color indexed="30"/>
        <rFont val="맑은 고딕"/>
        <family val="3"/>
        <charset val="129"/>
      </rPr>
      <t xml:space="preserve">: 축소, 정산, 사업결합, 사업분할,기타장기종업원급여
</t>
    </r>
    <r>
      <rPr>
        <b/>
        <sz val="10"/>
        <color indexed="10"/>
        <rFont val="맑은 고딕"/>
        <family val="3"/>
        <charset val="129"/>
      </rPr>
      <t>해당 사건 발생일을 기준으로 작성</t>
    </r>
    <phoneticPr fontId="2" type="noConversion"/>
  </si>
  <si>
    <t>사외적립자산</t>
    <phoneticPr fontId="2" type="noConversion"/>
  </si>
  <si>
    <t>회계 장부 반영 금액과 일치합니까?</t>
    <phoneticPr fontId="2" type="noConversion"/>
  </si>
  <si>
    <t>정년</t>
    <phoneticPr fontId="2" type="noConversion"/>
  </si>
  <si>
    <t>다음 재직자 분들의 명부 추계액과 gia산출 추계액 값 차이가 큽니다.</t>
    <phoneticPr fontId="36" type="noConversion"/>
  </si>
  <si>
    <t>(중간정산일자 누락, 입사일자 오류, 적용배수 오류)</t>
    <phoneticPr fontId="36" type="noConversion"/>
  </si>
  <si>
    <t>당년도퇴직금추계액</t>
    <phoneticPr fontId="36" type="noConversion"/>
  </si>
  <si>
    <t>차년도 퇴직금추계액</t>
    <phoneticPr fontId="36" type="noConversion"/>
  </si>
  <si>
    <t>보고서 전달 받으실 주소 기재 부탁드립니다.</t>
    <phoneticPr fontId="2" type="noConversion"/>
  </si>
  <si>
    <t>평가기준일 직전 1년 (2022.1.1~2022.06.30)</t>
    <phoneticPr fontId="2" type="noConversion"/>
  </si>
  <si>
    <t>251231</t>
    <phoneticPr fontId="2" type="noConversion"/>
  </si>
  <si>
    <t>회사가 정한 사원번호 입력 (개인 실명 기재 금지)</t>
    <phoneticPr fontId="2" type="noConversion"/>
  </si>
  <si>
    <t>차년도 퇴직금추계액
(임원, 정년초과자, 계약직은 반드시 입력)</t>
    <phoneticPr fontId="3" type="noConversion"/>
  </si>
  <si>
    <t>예</t>
  </si>
  <si>
    <t>2025.12.31</t>
    <phoneticPr fontId="2" type="noConversion"/>
  </si>
  <si>
    <t>1979/06/22</t>
  </si>
  <si>
    <t>1972/10/11</t>
  </si>
  <si>
    <t>1985/06/26</t>
  </si>
  <si>
    <t>1979/12/25</t>
  </si>
  <si>
    <t>1984/07/21</t>
  </si>
  <si>
    <t>1992/08/25</t>
  </si>
  <si>
    <t>1992/02/12</t>
  </si>
  <si>
    <t>1978/08/07</t>
  </si>
  <si>
    <t>1985/05/05</t>
  </si>
  <si>
    <t>1987/08/20</t>
  </si>
  <si>
    <t>1990/01/01</t>
  </si>
  <si>
    <t>1975/01/27</t>
  </si>
  <si>
    <t>1980/04/01</t>
  </si>
  <si>
    <t>1985/12/11</t>
  </si>
  <si>
    <t>1987/09/19</t>
  </si>
  <si>
    <t>1993/12/02</t>
  </si>
  <si>
    <t>1992/09/11</t>
  </si>
  <si>
    <t>1982/01/03</t>
  </si>
  <si>
    <t>1990/04/07</t>
  </si>
  <si>
    <t>1992/08/12</t>
  </si>
  <si>
    <t>1981/07/15</t>
  </si>
  <si>
    <t>1996/06/16</t>
  </si>
  <si>
    <t>1986/04/28</t>
  </si>
  <si>
    <t>1988/02/23</t>
  </si>
  <si>
    <t>1993/06/08</t>
  </si>
  <si>
    <t>1993/07/12</t>
  </si>
  <si>
    <t>1994/05/31</t>
  </si>
  <si>
    <t>1986/10/08</t>
  </si>
  <si>
    <t>2001/12/07</t>
  </si>
  <si>
    <t>1993/02/13</t>
  </si>
  <si>
    <t>1973/01/20</t>
  </si>
  <si>
    <t>1980/05/21</t>
  </si>
  <si>
    <t>1980/10/05</t>
  </si>
  <si>
    <t>2000/04/19</t>
  </si>
  <si>
    <t>2000/08/12</t>
  </si>
  <si>
    <t>2001/06/26</t>
  </si>
  <si>
    <t>2002/05/30</t>
  </si>
  <si>
    <t>1972/10/28</t>
  </si>
  <si>
    <t>1978/06/28</t>
  </si>
  <si>
    <t>1995/11/29</t>
  </si>
  <si>
    <t>1982/04/04</t>
  </si>
  <si>
    <t>1976/08/29</t>
  </si>
  <si>
    <t>1984/07/25</t>
  </si>
  <si>
    <t>2000/02/11</t>
  </si>
  <si>
    <t>1986/01/12</t>
  </si>
  <si>
    <t>1970/04/14</t>
  </si>
  <si>
    <t>1973/05/29</t>
  </si>
  <si>
    <t>1972/04/10</t>
  </si>
  <si>
    <t>1983/04/12</t>
  </si>
  <si>
    <t>1993/09/13</t>
  </si>
  <si>
    <t>1995/09/15</t>
  </si>
  <si>
    <t>1998/05/02</t>
  </si>
  <si>
    <t>1980/08/04</t>
  </si>
  <si>
    <t>1985/04/20</t>
  </si>
  <si>
    <t>1982/01/02</t>
  </si>
  <si>
    <t>1994/09/17</t>
  </si>
  <si>
    <t>1992/07/17</t>
  </si>
  <si>
    <t>1997/09/14</t>
  </si>
  <si>
    <t>2003/09/20</t>
  </si>
  <si>
    <t>1983/03/19</t>
  </si>
  <si>
    <t>1987/02/08</t>
  </si>
  <si>
    <t>1972/12/17</t>
  </si>
  <si>
    <t>1995/03/17</t>
  </si>
  <si>
    <t>1985/04/22</t>
  </si>
  <si>
    <t>1990/09/30</t>
  </si>
  <si>
    <t>1984/02/27</t>
  </si>
  <si>
    <t>1990/03/12</t>
  </si>
  <si>
    <t>2001/02/06</t>
  </si>
  <si>
    <t>1995/11/12</t>
  </si>
  <si>
    <t>1997/02/28</t>
  </si>
  <si>
    <t>1990/01/11</t>
  </si>
  <si>
    <t>1991/11/23</t>
  </si>
  <si>
    <t>1984/02/14</t>
  </si>
  <si>
    <t>1989/04/28</t>
  </si>
  <si>
    <t>1987/03/30</t>
  </si>
  <si>
    <t>1990/02/22</t>
  </si>
  <si>
    <t>1993/11/30</t>
  </si>
  <si>
    <t>1992/03/07</t>
  </si>
  <si>
    <t>1961/06/15</t>
  </si>
  <si>
    <t>1963/10/06</t>
  </si>
  <si>
    <t>1969/06/19</t>
  </si>
  <si>
    <t>1984/02/13</t>
  </si>
  <si>
    <t>1971/10/03</t>
  </si>
  <si>
    <t>1991/09/27</t>
  </si>
  <si>
    <t>1994/03/05</t>
  </si>
  <si>
    <t>1997/01/23</t>
  </si>
  <si>
    <t>1989/09/09</t>
  </si>
  <si>
    <t>1993/11/05</t>
  </si>
  <si>
    <t>1993/08/05</t>
  </si>
  <si>
    <t>1982/09/11</t>
  </si>
  <si>
    <t>1992/06/08</t>
  </si>
  <si>
    <t>1977/06/04</t>
  </si>
  <si>
    <t>1980/12/08</t>
  </si>
  <si>
    <t>1979/01/02</t>
  </si>
  <si>
    <t>1970/09/02</t>
  </si>
  <si>
    <t>1985/02/10</t>
  </si>
  <si>
    <t>1989/10/25</t>
  </si>
  <si>
    <t>1986/03/31</t>
  </si>
  <si>
    <t>1988/11/08</t>
  </si>
  <si>
    <t>1987/05/03</t>
  </si>
  <si>
    <t>1994/02/06</t>
  </si>
  <si>
    <t>1983/02/18</t>
  </si>
  <si>
    <t>1984/07/05</t>
  </si>
  <si>
    <t>1981/07/21</t>
  </si>
  <si>
    <t>1992/07/29</t>
  </si>
  <si>
    <t>1999/11/17</t>
  </si>
  <si>
    <t>1984/10/26</t>
  </si>
  <si>
    <t>1990/03/18</t>
  </si>
  <si>
    <t>1986/05/30</t>
  </si>
  <si>
    <t>1985/12/29</t>
  </si>
  <si>
    <t>1978/03/15</t>
  </si>
  <si>
    <t>1990/01/17</t>
  </si>
  <si>
    <t>1991/02/16</t>
  </si>
  <si>
    <t>1991/03/24</t>
  </si>
  <si>
    <t>1994/04/05</t>
  </si>
  <si>
    <t>1992/02/27</t>
  </si>
  <si>
    <t>1976/08/24</t>
  </si>
  <si>
    <t>1991/10/17</t>
  </si>
  <si>
    <t>1981/03/07</t>
  </si>
  <si>
    <t>1981/05/23</t>
  </si>
  <si>
    <t>1990/08/23</t>
  </si>
  <si>
    <t>1981/06/21</t>
  </si>
  <si>
    <t>1991/10/28</t>
  </si>
  <si>
    <t>1991/02/01</t>
  </si>
  <si>
    <t>1982/02/26</t>
  </si>
  <si>
    <t>1990/03/05</t>
  </si>
  <si>
    <t>1991/10/08</t>
  </si>
  <si>
    <t>1983/02/08</t>
  </si>
  <si>
    <t>1989/09/20</t>
  </si>
  <si>
    <t>1987/10/09</t>
  </si>
  <si>
    <t>1984/02/18</t>
  </si>
  <si>
    <t>1984/02/15</t>
  </si>
  <si>
    <t>1998/11/10</t>
  </si>
  <si>
    <t>1992/10/04</t>
  </si>
  <si>
    <t>1980/01/20</t>
  </si>
  <si>
    <t>1981/07/13</t>
  </si>
  <si>
    <t>1984/06/16</t>
  </si>
  <si>
    <t>1986/06/27</t>
  </si>
  <si>
    <t>1981/04/28</t>
  </si>
  <si>
    <t>1994/12/11</t>
  </si>
  <si>
    <t>1979/02/21</t>
  </si>
  <si>
    <t>1985/02/20</t>
  </si>
  <si>
    <t>2000/07/18</t>
  </si>
  <si>
    <t>2001/01/31</t>
  </si>
  <si>
    <t>1994/08/22</t>
  </si>
  <si>
    <t>1993/04/30</t>
  </si>
  <si>
    <t>1986/12/24</t>
  </si>
  <si>
    <t>1990/01/15</t>
  </si>
  <si>
    <t>1989/05/27</t>
  </si>
  <si>
    <t>1994/08/03</t>
  </si>
  <si>
    <t>1996/05/19</t>
  </si>
  <si>
    <t>1991/02/28</t>
  </si>
  <si>
    <t>2000/05/05</t>
  </si>
  <si>
    <t>1979/07/04</t>
  </si>
  <si>
    <t>1992/08/30</t>
  </si>
  <si>
    <t>1985/03/28</t>
  </si>
  <si>
    <t>1986/04/21</t>
  </si>
  <si>
    <t>1988/01/11</t>
  </si>
  <si>
    <t>1989/05/01</t>
  </si>
  <si>
    <t>1993/04/29</t>
  </si>
  <si>
    <t>1987/04/15</t>
  </si>
  <si>
    <t>1976/02/01</t>
  </si>
  <si>
    <t>1987/01/29</t>
  </si>
  <si>
    <t>1995/06/20</t>
  </si>
  <si>
    <t>1992/05/23</t>
  </si>
  <si>
    <t>1990/12/06</t>
  </si>
  <si>
    <t>1982/09/07</t>
  </si>
  <si>
    <t>1988/08/16</t>
  </si>
  <si>
    <t>1988/05/04</t>
  </si>
  <si>
    <t>1983/09/26</t>
  </si>
  <si>
    <t>1985/10/31</t>
  </si>
  <si>
    <t>1994/11/30</t>
  </si>
  <si>
    <t>1991/09/22</t>
  </si>
  <si>
    <t>1993/02/08</t>
  </si>
  <si>
    <t>1974/10/11</t>
  </si>
  <si>
    <t>1981/10/13</t>
  </si>
  <si>
    <t>1983/09/12</t>
  </si>
  <si>
    <t>1982/03/25</t>
  </si>
  <si>
    <t>1978/08/27</t>
  </si>
  <si>
    <t>1991/10/23</t>
  </si>
  <si>
    <t>1980/02/20</t>
  </si>
  <si>
    <t>1981/11/22</t>
  </si>
  <si>
    <t>1993/10/12</t>
  </si>
  <si>
    <t>1992/12/03</t>
  </si>
  <si>
    <t>1988/03/05</t>
  </si>
  <si>
    <t>1978/02/15</t>
  </si>
  <si>
    <t>1994/02/01</t>
  </si>
  <si>
    <t>1981/12/04</t>
  </si>
  <si>
    <t>1985/06/05</t>
  </si>
  <si>
    <t>1992/05/02</t>
  </si>
  <si>
    <t>1988/02/11</t>
  </si>
  <si>
    <t>1988/09/27</t>
  </si>
  <si>
    <t>1995/02/06</t>
  </si>
  <si>
    <t>1982/02/02</t>
  </si>
  <si>
    <t>1990/12/11</t>
  </si>
  <si>
    <t>1992/09/08</t>
  </si>
  <si>
    <t>1987/03/14</t>
  </si>
  <si>
    <t>1998/06/16</t>
  </si>
  <si>
    <t>1981/07/03</t>
  </si>
  <si>
    <t>1992/01/13</t>
  </si>
  <si>
    <t>1988/07/28</t>
  </si>
  <si>
    <t>1978/12/22</t>
  </si>
  <si>
    <t>1996/10/25</t>
  </si>
  <si>
    <t>1976/05/18</t>
  </si>
  <si>
    <t>1983/02/28</t>
  </si>
  <si>
    <t>1994/05/09</t>
  </si>
  <si>
    <t>1986/10/14</t>
  </si>
  <si>
    <t>1994/08/14</t>
  </si>
  <si>
    <t>1991/11/03</t>
  </si>
  <si>
    <t>1978/10/25</t>
  </si>
  <si>
    <t>1981/08/06</t>
  </si>
  <si>
    <t>1985/11/03</t>
  </si>
  <si>
    <t>1984/07/26</t>
  </si>
  <si>
    <t>1995/09/21</t>
  </si>
  <si>
    <t>1984/09/24</t>
  </si>
  <si>
    <t>1995/08/10</t>
  </si>
  <si>
    <t>1998/02/24</t>
  </si>
  <si>
    <t>1988/02/27</t>
  </si>
  <si>
    <t>1998/11/25</t>
  </si>
  <si>
    <t>1983/01/26</t>
  </si>
  <si>
    <t>1991/05/04</t>
  </si>
  <si>
    <t>1988/05/12</t>
  </si>
  <si>
    <t>1984/11/25</t>
  </si>
  <si>
    <t>1983/06/29</t>
  </si>
  <si>
    <t>1993/12/16</t>
  </si>
  <si>
    <t>1986/06/13</t>
  </si>
  <si>
    <t>1995/04/14</t>
  </si>
  <si>
    <t>1994/02/15</t>
  </si>
  <si>
    <t>1987/07/04</t>
  </si>
  <si>
    <t>1985/12/18</t>
  </si>
  <si>
    <t>1989/03/16</t>
  </si>
  <si>
    <t>1979/04/06</t>
  </si>
  <si>
    <t>1994/07/28</t>
  </si>
  <si>
    <t>1981/10/05</t>
  </si>
  <si>
    <t>1989/10/12</t>
  </si>
  <si>
    <t>1998/07/29</t>
  </si>
  <si>
    <t>1986/06/12</t>
  </si>
  <si>
    <t>1998/12/20</t>
  </si>
  <si>
    <t>1998/02/13</t>
  </si>
  <si>
    <t>1992/05/13</t>
  </si>
  <si>
    <t>1993/05/15</t>
  </si>
  <si>
    <t>1983/03/09</t>
  </si>
  <si>
    <t>1985/09/12</t>
  </si>
  <si>
    <t>1980/07/20</t>
  </si>
  <si>
    <t>1993/01/17</t>
  </si>
  <si>
    <t>1998/02/26</t>
  </si>
  <si>
    <t>1997/10/21</t>
  </si>
  <si>
    <t>1990/05/10</t>
  </si>
  <si>
    <t>1988/01/19</t>
  </si>
  <si>
    <t>1992/07/09</t>
  </si>
  <si>
    <t>1994/12/30</t>
  </si>
  <si>
    <t>1990/11/14</t>
  </si>
  <si>
    <t>1982/01/07</t>
  </si>
  <si>
    <t>1988/02/22</t>
  </si>
  <si>
    <t>1988/01/09</t>
  </si>
  <si>
    <t>1990/10/06</t>
  </si>
  <si>
    <t>1980/03/09</t>
  </si>
  <si>
    <t>1996/07/02</t>
  </si>
  <si>
    <t>1982/07/14</t>
  </si>
  <si>
    <t>1977/04/03</t>
  </si>
  <si>
    <t>1984/12/07</t>
  </si>
  <si>
    <t>1995/11/07</t>
  </si>
  <si>
    <t>1980/09/25</t>
  </si>
  <si>
    <t>1979/02/27</t>
  </si>
  <si>
    <t>1993/02/26</t>
  </si>
  <si>
    <t>1990/02/25</t>
  </si>
  <si>
    <t>1971/04/16</t>
  </si>
  <si>
    <t>1972/10/10</t>
  </si>
  <si>
    <t>1978/10/19</t>
  </si>
  <si>
    <t>1969/11/09</t>
  </si>
  <si>
    <t>1974/11/01</t>
  </si>
  <si>
    <t>1975/11/13</t>
  </si>
  <si>
    <t>1977/12/10</t>
  </si>
  <si>
    <t>1982/12/03</t>
  </si>
  <si>
    <t>1989/08/10</t>
  </si>
  <si>
    <t>1983/01/02</t>
  </si>
  <si>
    <t>1975/10/16</t>
  </si>
  <si>
    <t>1975/03/10</t>
  </si>
  <si>
    <t>1976/10/28</t>
  </si>
  <si>
    <t>1977/11/19</t>
  </si>
  <si>
    <t>1982/11/03</t>
  </si>
  <si>
    <t>1982/10/20</t>
  </si>
  <si>
    <t>1989/12/11</t>
  </si>
  <si>
    <t>1990/03/21</t>
  </si>
  <si>
    <t>1987/11/04</t>
  </si>
  <si>
    <t>1988/08/03</t>
  </si>
  <si>
    <t>1990/03/24</t>
  </si>
  <si>
    <t>1983/01/31</t>
  </si>
  <si>
    <t>1983/01/28</t>
  </si>
  <si>
    <t>1984/07/04</t>
  </si>
  <si>
    <t>1984/03/17</t>
  </si>
  <si>
    <t>2001/11/20</t>
  </si>
  <si>
    <t>1986/11/03</t>
  </si>
  <si>
    <t>2002/03/24</t>
  </si>
  <si>
    <t>1983/04/22</t>
  </si>
  <si>
    <t>1982/09/22</t>
  </si>
  <si>
    <t>1990/03/09</t>
  </si>
  <si>
    <t>1987/06/28</t>
  </si>
  <si>
    <t>1992/04/30</t>
  </si>
  <si>
    <t>1993/04/20</t>
  </si>
  <si>
    <t>1994/02/11</t>
  </si>
  <si>
    <t>1996/10/20</t>
  </si>
  <si>
    <t>1988/08/13</t>
  </si>
  <si>
    <t>1985/06/27</t>
  </si>
  <si>
    <t>1987/05/24</t>
  </si>
  <si>
    <t>2000/02/29</t>
  </si>
  <si>
    <t>1994/08/31</t>
  </si>
  <si>
    <t>1990/04/20</t>
  </si>
  <si>
    <t>1990/12/26</t>
  </si>
  <si>
    <t>2001/08/01</t>
  </si>
  <si>
    <t>2005/10/31</t>
  </si>
  <si>
    <t>1996/03/23</t>
  </si>
  <si>
    <t>1995/12/30</t>
  </si>
  <si>
    <t>1996/03/08</t>
  </si>
  <si>
    <t>1996/02/10</t>
  </si>
  <si>
    <t>1989/06/12</t>
  </si>
  <si>
    <t>2000/01/07</t>
  </si>
  <si>
    <t>1982/05/06</t>
  </si>
  <si>
    <t>1966/07/16</t>
  </si>
  <si>
    <t>1986/06/07</t>
  </si>
  <si>
    <t>1981/01/07</t>
  </si>
  <si>
    <t>1991/09/02</t>
  </si>
  <si>
    <t>1994/12/29</t>
  </si>
  <si>
    <t>1992/01/08</t>
  </si>
  <si>
    <t>1992/05/04</t>
  </si>
  <si>
    <t>1988/11/17</t>
  </si>
  <si>
    <t>1979/02/16</t>
  </si>
  <si>
    <t>1983/05/29</t>
  </si>
  <si>
    <t>1980/10/20</t>
  </si>
  <si>
    <t>1989/01/02</t>
  </si>
  <si>
    <t>1990/09/12</t>
  </si>
  <si>
    <t>1995/12/19</t>
  </si>
  <si>
    <t>1996/09/27</t>
  </si>
  <si>
    <t>1993/09/10</t>
  </si>
  <si>
    <t>1998/11/28</t>
  </si>
  <si>
    <t>1993/12/15</t>
  </si>
  <si>
    <t>1961/12/17</t>
  </si>
  <si>
    <t>1978/02/25</t>
  </si>
  <si>
    <t>1975/11/14</t>
  </si>
  <si>
    <t>1974/08/15</t>
  </si>
  <si>
    <t>1981/08/01</t>
  </si>
  <si>
    <t>1979/05/14</t>
  </si>
  <si>
    <t>1976/08/17</t>
  </si>
  <si>
    <t>1972/03/16</t>
  </si>
  <si>
    <t>1977/09/24</t>
  </si>
  <si>
    <t>1980/01/12</t>
  </si>
  <si>
    <t>1995/02/23</t>
  </si>
  <si>
    <t>1999/04/12</t>
  </si>
  <si>
    <t>1995/10/18</t>
  </si>
  <si>
    <t>1999/01/06</t>
  </si>
  <si>
    <t>1996/06/26</t>
  </si>
  <si>
    <t>1985/01/25</t>
  </si>
  <si>
    <t>1981/02/01</t>
  </si>
  <si>
    <t>1994/09/27</t>
  </si>
  <si>
    <t>2001/05/09</t>
  </si>
  <si>
    <t>1981/12/15</t>
  </si>
  <si>
    <t>1996/01/03</t>
  </si>
  <si>
    <t>2000/05/10</t>
  </si>
  <si>
    <t>2000/06/11</t>
  </si>
  <si>
    <t>1996/06/02</t>
  </si>
  <si>
    <t>1981/11/13</t>
  </si>
  <si>
    <t>1995/02/28</t>
  </si>
  <si>
    <t>1979/11/02</t>
  </si>
  <si>
    <t>1993/01/05</t>
  </si>
  <si>
    <t>1993/03/15</t>
  </si>
  <si>
    <t>1996/07/23</t>
  </si>
  <si>
    <t>1990/02/20</t>
  </si>
  <si>
    <t>1993/08/06</t>
  </si>
  <si>
    <t>1999/06/27</t>
  </si>
  <si>
    <t>1984/07/13</t>
  </si>
  <si>
    <t>1998/09/13</t>
  </si>
  <si>
    <t>1993/08/23</t>
  </si>
  <si>
    <t>1986/12/06</t>
  </si>
  <si>
    <t>1976/06/06</t>
  </si>
  <si>
    <t>1980/03/20</t>
  </si>
  <si>
    <t>1993/11/02</t>
  </si>
  <si>
    <t>1980/06/08</t>
  </si>
  <si>
    <t>1990/02/21</t>
  </si>
  <si>
    <t>1986/09/10</t>
  </si>
  <si>
    <t>1979/03/26</t>
  </si>
  <si>
    <t>1977/02/18</t>
  </si>
  <si>
    <t>1990/07/04</t>
  </si>
  <si>
    <t>1972/09/10</t>
  </si>
  <si>
    <t>1981/01/11</t>
  </si>
  <si>
    <t>1986/09/08</t>
  </si>
  <si>
    <t>1974/08/14</t>
  </si>
  <si>
    <t>1976/09/21</t>
  </si>
  <si>
    <t>2004/05/03</t>
  </si>
  <si>
    <t>1996/04/24</t>
  </si>
  <si>
    <t>1998/04/23</t>
  </si>
  <si>
    <t>1992/07/03</t>
  </si>
  <si>
    <t>1969/02/10</t>
  </si>
  <si>
    <t>1979/09/18</t>
  </si>
  <si>
    <t>1976/12/08</t>
  </si>
  <si>
    <t>1967/02/06</t>
  </si>
  <si>
    <t>1976/02/27</t>
  </si>
  <si>
    <t>1982/09/10</t>
  </si>
  <si>
    <t>1968/01/14</t>
  </si>
  <si>
    <t>1971/10/27</t>
  </si>
  <si>
    <t>1979/05/25</t>
  </si>
  <si>
    <t>1978/01/20</t>
  </si>
  <si>
    <t>1971/10/19</t>
  </si>
  <si>
    <t>1974/02/01</t>
  </si>
  <si>
    <t>1982/04/26</t>
  </si>
  <si>
    <t>1973/06/23</t>
  </si>
  <si>
    <t>1990/09/29</t>
  </si>
  <si>
    <t>1975/06/01</t>
  </si>
  <si>
    <t>1986/01/05</t>
  </si>
  <si>
    <t>1995/01/11</t>
  </si>
  <si>
    <t>1999/03/16</t>
  </si>
  <si>
    <t>1982/08/25</t>
  </si>
  <si>
    <t>1974/02/02</t>
  </si>
  <si>
    <t>1981/03/09</t>
  </si>
  <si>
    <t>1970/09/21</t>
  </si>
  <si>
    <t>1997/04/22</t>
  </si>
  <si>
    <t>1995/02/26</t>
  </si>
  <si>
    <t>1988/02/16</t>
  </si>
  <si>
    <t>1985/10/08</t>
  </si>
  <si>
    <t>1994/03/12</t>
  </si>
  <si>
    <t>1986/04/23</t>
  </si>
  <si>
    <t>1995/09/20</t>
  </si>
  <si>
    <t>1990/10/26</t>
  </si>
  <si>
    <t>1992/05/17</t>
  </si>
  <si>
    <t>2000/04/30</t>
  </si>
  <si>
    <t>2000/01/21</t>
  </si>
  <si>
    <t>1989/08/02</t>
  </si>
  <si>
    <t>1992/03/25</t>
  </si>
  <si>
    <t>1995/04/10</t>
  </si>
  <si>
    <t>2000/05/25</t>
  </si>
  <si>
    <t>1995/09/30</t>
  </si>
  <si>
    <t>1987/09/01</t>
  </si>
  <si>
    <t>1984/01/23</t>
  </si>
  <si>
    <t>1988/01/29</t>
  </si>
  <si>
    <t>1989/07/27</t>
  </si>
  <si>
    <t>1995/01/17</t>
  </si>
  <si>
    <t>1977/11/16</t>
  </si>
  <si>
    <t>1980/08/17</t>
  </si>
  <si>
    <t>1988/02/14</t>
  </si>
  <si>
    <t>1992/08/04</t>
  </si>
  <si>
    <t>1994/05/02</t>
  </si>
  <si>
    <t>1988/04/30</t>
  </si>
  <si>
    <t>1986/04/19</t>
  </si>
  <si>
    <t>1997/04/19</t>
  </si>
  <si>
    <t>2002/03/16</t>
  </si>
  <si>
    <t>1965/07/22</t>
  </si>
  <si>
    <t>1959/09/01</t>
  </si>
  <si>
    <t>1960/07/20</t>
  </si>
  <si>
    <t>1991/12/19</t>
  </si>
  <si>
    <t>1989/10/17</t>
  </si>
  <si>
    <t>1969/03/04</t>
  </si>
  <si>
    <t>2004/01/21</t>
  </si>
  <si>
    <t>1994/06/25</t>
  </si>
  <si>
    <t>1985/03/01</t>
  </si>
  <si>
    <t>1994/07/07</t>
  </si>
  <si>
    <t>1993/10/31</t>
  </si>
  <si>
    <t>1990/01/19</t>
  </si>
  <si>
    <t>1968/05/27</t>
  </si>
  <si>
    <t>1991/01/22</t>
  </si>
  <si>
    <t>1983/09/10</t>
  </si>
  <si>
    <t>1970/07/06</t>
  </si>
  <si>
    <t>1978/05/12</t>
  </si>
  <si>
    <t>1968/10/10</t>
  </si>
  <si>
    <t>1970/06/27</t>
  </si>
  <si>
    <t>1972/04/05</t>
  </si>
  <si>
    <t>1988/05/28</t>
  </si>
  <si>
    <t>1977/04/07</t>
  </si>
  <si>
    <t>1982/02/06</t>
  </si>
  <si>
    <t>1980/02/24</t>
  </si>
  <si>
    <t>1972/10/20</t>
  </si>
  <si>
    <t>1977/06/20</t>
  </si>
  <si>
    <t>1981/09/12</t>
  </si>
  <si>
    <t>1982/11/30</t>
  </si>
  <si>
    <t>1983/10/10</t>
  </si>
  <si>
    <t>1983/07/31</t>
  </si>
  <si>
    <t>1991/09/12</t>
  </si>
  <si>
    <t>1977/06/27</t>
  </si>
  <si>
    <t>1976/07/10</t>
  </si>
  <si>
    <t>1984/10/25</t>
  </si>
  <si>
    <t>1975/01/31</t>
  </si>
  <si>
    <t>1972/10/16</t>
  </si>
  <si>
    <t>1971/10/05</t>
  </si>
  <si>
    <t>1979/08/14</t>
  </si>
  <si>
    <t>1984/03/01</t>
  </si>
  <si>
    <t>1979/08/15</t>
  </si>
  <si>
    <t>1985/03/20</t>
  </si>
  <si>
    <t>1978/11/19</t>
  </si>
  <si>
    <t>1980/07/05</t>
  </si>
  <si>
    <t>1976/05/21</t>
  </si>
  <si>
    <t>1991/02/27</t>
  </si>
  <si>
    <t>1982/10/11</t>
  </si>
  <si>
    <t>1984/05/14</t>
  </si>
  <si>
    <t>1975/12/27</t>
  </si>
  <si>
    <t>1978/11/30</t>
  </si>
  <si>
    <t>1994/09/16</t>
  </si>
  <si>
    <t>1991/03/09</t>
  </si>
  <si>
    <t>1986/08/24</t>
  </si>
  <si>
    <t>1988/01/28</t>
  </si>
  <si>
    <t>1994/06/28</t>
  </si>
  <si>
    <t>1988/02/15</t>
  </si>
  <si>
    <t>1993/06/30</t>
  </si>
  <si>
    <t>1990/11/15</t>
  </si>
  <si>
    <t>1996/12/14</t>
  </si>
  <si>
    <t>1988/04/11</t>
  </si>
  <si>
    <t>1992/08/06</t>
  </si>
  <si>
    <t>1994/04/12</t>
  </si>
  <si>
    <t>1990/07/22</t>
  </si>
  <si>
    <t>1994/05/17</t>
  </si>
  <si>
    <t>1992/07/21</t>
  </si>
  <si>
    <t>1993/09/07</t>
  </si>
  <si>
    <t>1994/12/21</t>
  </si>
  <si>
    <t>1981/09/05</t>
  </si>
  <si>
    <t>1997/05/15</t>
  </si>
  <si>
    <t>1996/06/08</t>
  </si>
  <si>
    <t>1989/03/24</t>
  </si>
  <si>
    <t>1992/02/06</t>
  </si>
  <si>
    <t>1981/10/23</t>
  </si>
  <si>
    <t>1977/08/04</t>
  </si>
  <si>
    <t>1969/09/06</t>
  </si>
  <si>
    <t>1987/05/11</t>
  </si>
  <si>
    <t>1988/09/16</t>
  </si>
  <si>
    <t>1983/02/03</t>
  </si>
  <si>
    <t>1989/04/10</t>
  </si>
  <si>
    <t>1994/10/26</t>
  </si>
  <si>
    <t>1983/10/16</t>
  </si>
  <si>
    <t>1979/04/15</t>
  </si>
  <si>
    <t>1990/11/09</t>
  </si>
  <si>
    <t>1996/05/10</t>
  </si>
  <si>
    <t>1981/02/15</t>
  </si>
  <si>
    <t>1992/04/18</t>
  </si>
  <si>
    <t>1972/11/05</t>
  </si>
  <si>
    <t>1990/07/01</t>
  </si>
  <si>
    <t>1969/08/15</t>
  </si>
  <si>
    <t>1989/04/26</t>
  </si>
  <si>
    <t>1967/12/15</t>
  </si>
  <si>
    <t>1980/03/22</t>
  </si>
  <si>
    <t>1989/09/08</t>
  </si>
  <si>
    <t>1972/12/04</t>
  </si>
  <si>
    <t>1987/09/11</t>
  </si>
  <si>
    <t>1972/07/20</t>
  </si>
  <si>
    <t>1993/07/09</t>
  </si>
  <si>
    <t>1992/09/06</t>
  </si>
  <si>
    <t>1979/10/10</t>
  </si>
  <si>
    <t>1966/05/25</t>
  </si>
  <si>
    <t>1994/03/31</t>
  </si>
  <si>
    <t>1983/07/11</t>
  </si>
  <si>
    <t>1990/11/10</t>
  </si>
  <si>
    <t>1996/01/05</t>
  </si>
  <si>
    <t>1988/06/06</t>
  </si>
  <si>
    <t>1981/12/06</t>
  </si>
  <si>
    <t>1976/11/19</t>
  </si>
  <si>
    <t>1988/01/02</t>
  </si>
  <si>
    <t>1988/08/28</t>
  </si>
  <si>
    <t>1991/09/28</t>
  </si>
  <si>
    <t>1985/12/30</t>
  </si>
  <si>
    <t>1988/07/14</t>
  </si>
  <si>
    <t>1992/10/27</t>
  </si>
  <si>
    <t>1993/04/06</t>
  </si>
  <si>
    <t>1984/02/04</t>
  </si>
  <si>
    <t>1978/07/23</t>
  </si>
  <si>
    <t>1993/02/27</t>
  </si>
  <si>
    <t>1985/03/12</t>
  </si>
  <si>
    <t>1988/09/14</t>
  </si>
  <si>
    <t>1990/06/24</t>
  </si>
  <si>
    <t>1993/11/22</t>
  </si>
  <si>
    <t>1986/11/05</t>
  </si>
  <si>
    <t>1982/04/22</t>
  </si>
  <si>
    <t>1984/04/07</t>
  </si>
  <si>
    <t>1993/04/21</t>
  </si>
  <si>
    <t>1984/04/10</t>
  </si>
  <si>
    <t>1987/02/05</t>
  </si>
  <si>
    <t>1985/06/18</t>
  </si>
  <si>
    <t>1989/08/12</t>
  </si>
  <si>
    <t>1990/09/04</t>
  </si>
  <si>
    <t>1989/12/04</t>
  </si>
  <si>
    <t>1991/05/20</t>
  </si>
  <si>
    <t>1979/11/21</t>
  </si>
  <si>
    <t>1978/10/04</t>
  </si>
  <si>
    <t>1984/05/12</t>
  </si>
  <si>
    <t>1980/07/17</t>
  </si>
  <si>
    <t>1988/09/04</t>
  </si>
  <si>
    <t>1992/11/02</t>
  </si>
  <si>
    <t>1994/12/13</t>
  </si>
  <si>
    <t>1981/10/19</t>
  </si>
  <si>
    <t>1987/06/09</t>
  </si>
  <si>
    <t>1982/08/27</t>
  </si>
  <si>
    <t>1996/04/07</t>
  </si>
  <si>
    <t>1970/12/10</t>
  </si>
  <si>
    <t>1978/02/23</t>
  </si>
  <si>
    <t>1994/06/15</t>
  </si>
  <si>
    <t>1982/10/09</t>
  </si>
  <si>
    <t>1984/02/03</t>
  </si>
  <si>
    <t>1981/01/23</t>
  </si>
  <si>
    <t>1982/08/07</t>
  </si>
  <si>
    <t>1986/11/07</t>
  </si>
  <si>
    <t>1984/04/11</t>
  </si>
  <si>
    <t>1985/05/25</t>
  </si>
  <si>
    <t>1987/05/06</t>
  </si>
  <si>
    <t>1985/01/21</t>
  </si>
  <si>
    <t>1991/09/01</t>
  </si>
  <si>
    <t>1985/12/28</t>
  </si>
  <si>
    <t>1989/11/03</t>
  </si>
  <si>
    <t>1984/09/12</t>
  </si>
  <si>
    <t>1992/08/07</t>
  </si>
  <si>
    <t>1972/05/03</t>
  </si>
  <si>
    <t>1984/03/11</t>
  </si>
  <si>
    <t>1991/01/18</t>
  </si>
  <si>
    <t>1993/04/02</t>
  </si>
  <si>
    <t>1987/03/08</t>
  </si>
  <si>
    <t>1992/11/19</t>
  </si>
  <si>
    <t>1983/01/03</t>
  </si>
  <si>
    <t>1987/04/22</t>
  </si>
  <si>
    <t>1986/11/29</t>
  </si>
  <si>
    <t>1987/04/11</t>
  </si>
  <si>
    <t>1990/07/16</t>
  </si>
  <si>
    <t>1968/01/17</t>
  </si>
  <si>
    <t>1982/06/29</t>
  </si>
  <si>
    <t>1995/02/17</t>
  </si>
  <si>
    <t>1993/01/22</t>
  </si>
  <si>
    <t>1989/10/14</t>
  </si>
  <si>
    <t>1988/04/04</t>
  </si>
  <si>
    <t>1989/12/05</t>
  </si>
  <si>
    <t>1990/01/06</t>
  </si>
  <si>
    <t>1986/03/21</t>
  </si>
  <si>
    <t>1988/06/18</t>
  </si>
  <si>
    <t>1988/10/16</t>
  </si>
  <si>
    <t>1995/01/05</t>
  </si>
  <si>
    <t>1996/08/10</t>
  </si>
  <si>
    <t>1985/06/07</t>
  </si>
  <si>
    <t>1996/08/26</t>
  </si>
  <si>
    <t>1973/03/30</t>
  </si>
  <si>
    <t>1986/09/25</t>
  </si>
  <si>
    <t>1990/10/22</t>
  </si>
  <si>
    <t>1987/07/03</t>
  </si>
  <si>
    <t>1991/05/21</t>
  </si>
  <si>
    <t>1986/12/15</t>
  </si>
  <si>
    <t>1986/08/15</t>
  </si>
  <si>
    <t>1981/12/01</t>
  </si>
  <si>
    <t>1985/10/01</t>
  </si>
  <si>
    <t>1996/09/03</t>
  </si>
  <si>
    <t>1975/10/11</t>
  </si>
  <si>
    <t>1989/01/03</t>
  </si>
  <si>
    <t>1985/05/09</t>
  </si>
  <si>
    <t>1992/05/06</t>
  </si>
  <si>
    <t>1984/10/09</t>
  </si>
  <si>
    <t>1986/02/15</t>
  </si>
  <si>
    <t>1989/12/20</t>
  </si>
  <si>
    <t>1990/02/28</t>
  </si>
  <si>
    <t>1993/02/23</t>
  </si>
  <si>
    <t>1977/03/19</t>
  </si>
  <si>
    <t>1983/01/15</t>
  </si>
  <si>
    <t>1986/12/30</t>
  </si>
  <si>
    <t>1993/03/28</t>
  </si>
  <si>
    <t>1991/03/25</t>
  </si>
  <si>
    <t>1984/11/07</t>
  </si>
  <si>
    <t>1986/05/19</t>
  </si>
  <si>
    <t>1988/10/30</t>
  </si>
  <si>
    <t>1993/02/22</t>
  </si>
  <si>
    <t>1992/09/21</t>
  </si>
  <si>
    <t>1975/05/05</t>
  </si>
  <si>
    <t>1992/03/31</t>
  </si>
  <si>
    <t>1990/11/17</t>
  </si>
  <si>
    <t>1977/01/31</t>
  </si>
  <si>
    <t>1981/01/19</t>
  </si>
  <si>
    <t>1988/04/09</t>
  </si>
  <si>
    <t>1993/09/03</t>
  </si>
  <si>
    <t>1982/02/18</t>
  </si>
  <si>
    <t>1980/07/22</t>
  </si>
  <si>
    <t>1982/06/28</t>
  </si>
  <si>
    <t>1989/10/16</t>
  </si>
  <si>
    <t>1979/06/23</t>
  </si>
  <si>
    <t>1979/02/28</t>
  </si>
  <si>
    <t>1987/04/19</t>
  </si>
  <si>
    <t>1992/07/26</t>
  </si>
  <si>
    <t>1986/08/22</t>
  </si>
  <si>
    <t>1982/07/16</t>
  </si>
  <si>
    <t>1983/11/02</t>
  </si>
  <si>
    <t>1977/03/20</t>
  </si>
  <si>
    <t>1985/01/29</t>
  </si>
  <si>
    <t>1983/01/08</t>
  </si>
  <si>
    <t>1973/11/04</t>
  </si>
  <si>
    <t>1988/01/16</t>
  </si>
  <si>
    <t>1987/12/04</t>
  </si>
  <si>
    <t>1985/01/15</t>
  </si>
  <si>
    <t>1989/02/21</t>
  </si>
  <si>
    <t>1982/08/17</t>
  </si>
  <si>
    <t>1986/02/06</t>
  </si>
  <si>
    <t>1991/11/10</t>
  </si>
  <si>
    <t>1989/02/11</t>
  </si>
  <si>
    <t>1979/09/25</t>
  </si>
  <si>
    <t>1985/09/22</t>
  </si>
  <si>
    <t>1994/06/13</t>
  </si>
  <si>
    <t>1993/02/05</t>
  </si>
  <si>
    <t>1987/02/07</t>
  </si>
  <si>
    <t>1994/08/28</t>
  </si>
  <si>
    <t>1979/12/12</t>
  </si>
  <si>
    <t>1988/09/19</t>
  </si>
  <si>
    <t>1996/04/29</t>
  </si>
  <si>
    <t>1991/04/07</t>
  </si>
  <si>
    <t>1983/05/15</t>
  </si>
  <si>
    <t>1979/09/29</t>
  </si>
  <si>
    <t>1958/08/27</t>
  </si>
  <si>
    <t>1978/03/17</t>
  </si>
  <si>
    <t>1975/03/15</t>
  </si>
  <si>
    <t>1971/02/09</t>
  </si>
  <si>
    <t>1976/01/23</t>
  </si>
  <si>
    <t>1968/09/04</t>
  </si>
  <si>
    <t>1985/07/16</t>
  </si>
  <si>
    <t>1970/07/28</t>
  </si>
  <si>
    <t>1985/07/14</t>
  </si>
  <si>
    <t>1976/09/02</t>
  </si>
  <si>
    <t>1981/02/21</t>
  </si>
  <si>
    <t>1975/10/27</t>
  </si>
  <si>
    <t>1970/08/13</t>
  </si>
  <si>
    <t>1984/10/19</t>
  </si>
  <si>
    <t>1980/03/14</t>
  </si>
  <si>
    <t>1994/06/06</t>
  </si>
  <si>
    <t>1990/01/05</t>
  </si>
  <si>
    <t>1996/07/04</t>
  </si>
  <si>
    <t>1991/04/09</t>
  </si>
  <si>
    <t>1998/10/21</t>
  </si>
  <si>
    <t>1987/09/23</t>
  </si>
  <si>
    <t>1981/12/21</t>
  </si>
  <si>
    <t>2025/01/31</t>
  </si>
  <si>
    <t>2025/01/30</t>
  </si>
  <si>
    <t>2025/01/28</t>
  </si>
  <si>
    <t>2025/01/20</t>
  </si>
  <si>
    <t>2025/01/14</t>
  </si>
  <si>
    <t>2025/01/11</t>
  </si>
  <si>
    <t>2025/01/03</t>
  </si>
  <si>
    <t>2025/02/14</t>
  </si>
  <si>
    <t>2025/02/06</t>
  </si>
  <si>
    <t>2025/02/05</t>
  </si>
  <si>
    <t>2025/02/03</t>
  </si>
  <si>
    <t>2025/02/10</t>
  </si>
  <si>
    <t>2025/02/28</t>
  </si>
  <si>
    <t>2025/02/24</t>
  </si>
  <si>
    <t>2025/02/22</t>
  </si>
  <si>
    <t>2025/02/20</t>
  </si>
  <si>
    <t>2025/02/13</t>
  </si>
  <si>
    <t>2025/02/25</t>
  </si>
  <si>
    <t>2025/03/05</t>
  </si>
  <si>
    <t>2025/03/04</t>
  </si>
  <si>
    <t>2025/03/14</t>
  </si>
  <si>
    <t>2025/03/13</t>
  </si>
  <si>
    <t>2025/03/12</t>
  </si>
  <si>
    <t>2025/03/10</t>
  </si>
  <si>
    <t>2025/03/09</t>
  </si>
  <si>
    <t>2025/03/07</t>
  </si>
  <si>
    <t>2025/03/20</t>
  </si>
  <si>
    <t>2025/03/31</t>
  </si>
  <si>
    <t>2025/03/27</t>
  </si>
  <si>
    <t>2025/03/21</t>
  </si>
  <si>
    <t>2025/04/08</t>
  </si>
  <si>
    <t>2025/04/04</t>
  </si>
  <si>
    <t>2025/03/30</t>
  </si>
  <si>
    <t>2025/04/16</t>
  </si>
  <si>
    <t>2025/04/07</t>
  </si>
  <si>
    <t>2025/04/30</t>
  </si>
  <si>
    <t>2025/04/20</t>
  </si>
  <si>
    <t>2025/04/18</t>
  </si>
  <si>
    <t>2025/05/01</t>
  </si>
  <si>
    <t>2025/04/26</t>
  </si>
  <si>
    <t>2025/05/12</t>
  </si>
  <si>
    <t>2025/05/11</t>
  </si>
  <si>
    <t>2025/05/22</t>
  </si>
  <si>
    <t>2025/05/20</t>
  </si>
  <si>
    <t>2025/05/19</t>
  </si>
  <si>
    <t>2025/05/15</t>
  </si>
  <si>
    <t>2025/05/29</t>
  </si>
  <si>
    <t>2025/05/31</t>
  </si>
  <si>
    <t>2025/05/27</t>
  </si>
  <si>
    <t>2025/06/20</t>
  </si>
  <si>
    <t>2025/06/30</t>
  </si>
  <si>
    <t>2025/07/08</t>
  </si>
  <si>
    <t>2025/07/04</t>
  </si>
  <si>
    <t>2025/06/23</t>
  </si>
  <si>
    <t>2025/06/13</t>
  </si>
  <si>
    <t>2025/07/11</t>
  </si>
  <si>
    <t>2025/07/21</t>
  </si>
  <si>
    <t>2025/07/20</t>
  </si>
  <si>
    <t>2025/07/16</t>
  </si>
  <si>
    <t>2025/07/07</t>
  </si>
  <si>
    <t>2025/07/31</t>
  </si>
  <si>
    <t>2025/08/15</t>
  </si>
  <si>
    <t>2025/08/13</t>
  </si>
  <si>
    <t>2025/07/29</t>
  </si>
  <si>
    <t>2025/08/20</t>
  </si>
  <si>
    <t>2025/08/09</t>
  </si>
  <si>
    <t>2025/08/05</t>
  </si>
  <si>
    <t>2025/08/31</t>
  </si>
  <si>
    <t>2025/08/29</t>
  </si>
  <si>
    <t>2025/08/26</t>
  </si>
  <si>
    <t>2025/08/21</t>
  </si>
  <si>
    <t>2025/08/19</t>
  </si>
  <si>
    <t>2025/08/07</t>
  </si>
  <si>
    <t>2025/08/24</t>
  </si>
  <si>
    <t>2025/09/12</t>
  </si>
  <si>
    <t>2025/09/07</t>
  </si>
  <si>
    <t>2025/09/04</t>
  </si>
  <si>
    <t>2025/09/23</t>
  </si>
  <si>
    <t>2025/09/21</t>
  </si>
  <si>
    <t>2025/09/26</t>
  </si>
  <si>
    <t>2025/10/20</t>
  </si>
  <si>
    <t>2025/10/17</t>
  </si>
  <si>
    <t>2025/10/10</t>
  </si>
  <si>
    <t>2025/09/30</t>
  </si>
  <si>
    <t>2025/09/29</t>
  </si>
  <si>
    <t>2025/09/18</t>
  </si>
  <si>
    <t>2025/11/12</t>
  </si>
  <si>
    <t>2025/11/10</t>
  </si>
  <si>
    <t>2025/11/07</t>
  </si>
  <si>
    <t>2025/11/03</t>
  </si>
  <si>
    <t>2025/10/31</t>
  </si>
  <si>
    <t>2025/10/21</t>
  </si>
  <si>
    <t>2025/11/17</t>
  </si>
  <si>
    <t>2025/11/15</t>
  </si>
  <si>
    <t>2025/11/13</t>
  </si>
  <si>
    <t>2025/11/06</t>
  </si>
  <si>
    <t>2025/11/24</t>
  </si>
  <si>
    <t>2025/11/21</t>
  </si>
  <si>
    <t>2025/12/04</t>
  </si>
  <si>
    <t>2025/11/30</t>
  </si>
  <si>
    <t>2025/12/12</t>
  </si>
  <si>
    <t>2025/11/28</t>
  </si>
  <si>
    <t>2025/12/15</t>
  </si>
  <si>
    <t>퇴직금정산</t>
  </si>
  <si>
    <t>1988/02/25</t>
  </si>
  <si>
    <t>1982/06/25</t>
  </si>
  <si>
    <t>1985/07/09</t>
  </si>
  <si>
    <t>1991/10/10</t>
  </si>
  <si>
    <t>1990/10/29</t>
  </si>
  <si>
    <t>1994/06/01</t>
  </si>
  <si>
    <t>1976/01/01</t>
  </si>
  <si>
    <t>1984/01/30</t>
  </si>
  <si>
    <t>1990/11/28</t>
  </si>
  <si>
    <t>1972/06/15</t>
  </si>
  <si>
    <t>1988/05/10</t>
  </si>
  <si>
    <t>1989/01/27</t>
  </si>
  <si>
    <t>1974/11/20</t>
  </si>
  <si>
    <t>1994/01/21</t>
  </si>
  <si>
    <t>1985/11/28</t>
  </si>
  <si>
    <t>1981/06/28</t>
  </si>
  <si>
    <t>1980/10/10</t>
  </si>
  <si>
    <t>1984/02/25</t>
  </si>
  <si>
    <t>1973/01/31</t>
  </si>
  <si>
    <t>1974/01/29</t>
  </si>
  <si>
    <t>1991/10/26</t>
  </si>
  <si>
    <t>1973/04/16</t>
  </si>
  <si>
    <t>1971/08/25</t>
  </si>
  <si>
    <t>1971/01/16</t>
  </si>
  <si>
    <t>1997/12/16</t>
  </si>
  <si>
    <t>1976/11/13</t>
  </si>
  <si>
    <t>1980/08/22</t>
  </si>
  <si>
    <t>1968/04/03</t>
  </si>
  <si>
    <t>1983/02/10</t>
  </si>
  <si>
    <t>1977/05/22</t>
  </si>
  <si>
    <t>1976/02/15</t>
  </si>
  <si>
    <t>1987/05/17</t>
  </si>
  <si>
    <t>1990/04/26</t>
  </si>
  <si>
    <t>1971/11/25</t>
  </si>
  <si>
    <t>1974/09/15</t>
  </si>
  <si>
    <t>1984/01/20</t>
  </si>
  <si>
    <t>1994/08/09</t>
  </si>
  <si>
    <t>1981/05/26</t>
  </si>
  <si>
    <t>1978/10/05</t>
  </si>
  <si>
    <t>1996/10/03</t>
  </si>
  <si>
    <t>1982/07/17</t>
  </si>
  <si>
    <t>1981/11/30</t>
  </si>
  <si>
    <t>1988/04/23</t>
  </si>
  <si>
    <t>1972/06/12</t>
  </si>
  <si>
    <t>1988/03/17</t>
  </si>
  <si>
    <t>2003/01/07</t>
  </si>
  <si>
    <t>1986/12/11</t>
  </si>
  <si>
    <t>1976/03/28</t>
  </si>
  <si>
    <t>1987/04/01</t>
  </si>
  <si>
    <t>1991/02/06</t>
  </si>
  <si>
    <t>1988/07/12</t>
  </si>
  <si>
    <t>1994/07/16</t>
  </si>
  <si>
    <t>1981/06/01</t>
  </si>
  <si>
    <t>1981/11/16</t>
  </si>
  <si>
    <t>1977/10/01</t>
  </si>
  <si>
    <t>1992/09/24</t>
  </si>
  <si>
    <t>1982/07/01</t>
  </si>
  <si>
    <t>1973/07/02</t>
  </si>
  <si>
    <t>1995/05/28</t>
  </si>
  <si>
    <t>1975/08/10</t>
  </si>
  <si>
    <t>1986/11/23</t>
  </si>
  <si>
    <t>1978/04/06</t>
  </si>
  <si>
    <t>1980/12/03</t>
  </si>
  <si>
    <t>1986/06/01</t>
  </si>
  <si>
    <t>1983/12/31</t>
  </si>
  <si>
    <t>1974/11/09</t>
  </si>
  <si>
    <t>1998/09/25</t>
  </si>
  <si>
    <t>1990/07/21</t>
  </si>
  <si>
    <t>1980/08/13</t>
  </si>
  <si>
    <t>2001/04/10</t>
  </si>
  <si>
    <t>1979/12/21</t>
  </si>
  <si>
    <t>2005/08/25</t>
  </si>
  <si>
    <t>2005/02/15</t>
  </si>
  <si>
    <t>1985/08/26</t>
  </si>
  <si>
    <t>1989/12/23</t>
  </si>
  <si>
    <t>1976/01/24</t>
  </si>
  <si>
    <t>1986/01/17</t>
  </si>
  <si>
    <t>1985/11/18</t>
  </si>
  <si>
    <t>1980/03/31</t>
  </si>
  <si>
    <t>1999/07/26</t>
  </si>
  <si>
    <t>1980/01/31</t>
  </si>
  <si>
    <t>1977/12/18</t>
  </si>
  <si>
    <t>1978/06/16</t>
  </si>
  <si>
    <t>1980/11/13</t>
  </si>
  <si>
    <t>1984/04/06</t>
  </si>
  <si>
    <t>1975/03/14</t>
  </si>
  <si>
    <t>1978/10/11</t>
  </si>
  <si>
    <t>1986/04/17</t>
  </si>
  <si>
    <t>1980/02/08</t>
  </si>
  <si>
    <t>1979/12/10</t>
  </si>
  <si>
    <t>1993/12/22</t>
  </si>
  <si>
    <t>1979/06/02</t>
  </si>
  <si>
    <t>1979/07/28</t>
  </si>
  <si>
    <t>1987/10/21</t>
  </si>
  <si>
    <t>1977/03/22</t>
  </si>
  <si>
    <t>1975/12/14</t>
  </si>
  <si>
    <t>1975/02/18</t>
  </si>
  <si>
    <t>1976/03/10</t>
  </si>
  <si>
    <t>1984/07/14</t>
  </si>
  <si>
    <t>1988/07/17</t>
  </si>
  <si>
    <t>1977/11/26</t>
  </si>
  <si>
    <t>1984/06/25</t>
  </si>
  <si>
    <t>1980/01/15</t>
  </si>
  <si>
    <t>1983/08/07</t>
  </si>
  <si>
    <t>1989/07/21</t>
  </si>
  <si>
    <t>1986/03/11</t>
  </si>
  <si>
    <t>1984/05/27</t>
  </si>
  <si>
    <t>1978/05/04</t>
  </si>
  <si>
    <t>1989/08/13</t>
  </si>
  <si>
    <t>1980/08/07</t>
  </si>
  <si>
    <t>1971/08/20</t>
  </si>
  <si>
    <t>1972/07/07</t>
  </si>
  <si>
    <t>1993/03/29</t>
  </si>
  <si>
    <t>1976/11/30</t>
  </si>
  <si>
    <t>1980/01/11</t>
  </si>
  <si>
    <t>1982/02/27</t>
  </si>
  <si>
    <t>1983/02/13</t>
  </si>
  <si>
    <t>1988/10/01</t>
  </si>
  <si>
    <t>1974/04/20</t>
  </si>
  <si>
    <t>1982/01/17</t>
  </si>
  <si>
    <t>1994/06/16</t>
  </si>
  <si>
    <t>1995/12/31</t>
  </si>
  <si>
    <t>1985/02/08</t>
  </si>
  <si>
    <t>1991/09/05</t>
  </si>
  <si>
    <t>1986/02/23</t>
  </si>
  <si>
    <t>1978/10/15</t>
  </si>
  <si>
    <t>1978/08/15</t>
  </si>
  <si>
    <t>1985/01/02</t>
  </si>
  <si>
    <t>1995/03/22</t>
  </si>
  <si>
    <t>1980/06/13</t>
  </si>
  <si>
    <t>1985/07/31</t>
  </si>
  <si>
    <t>1976/10/15</t>
  </si>
  <si>
    <t>1976/07/25</t>
  </si>
  <si>
    <t>1975/11/24</t>
  </si>
  <si>
    <t>1986/02/04</t>
  </si>
  <si>
    <t>1974/04/19</t>
  </si>
  <si>
    <t>1991/01/30</t>
  </si>
  <si>
    <t>1975/02/13</t>
  </si>
  <si>
    <t>1977/04/04</t>
  </si>
  <si>
    <t>1980/05/22</t>
  </si>
  <si>
    <t>1986/11/14</t>
  </si>
  <si>
    <t>1987/03/25</t>
  </si>
  <si>
    <t>1994/02/25</t>
  </si>
  <si>
    <t>1988/06/15</t>
  </si>
  <si>
    <t>1990/09/14</t>
  </si>
  <si>
    <t>1976/07/26</t>
  </si>
  <si>
    <t>1985/08/27</t>
  </si>
  <si>
    <t>1986/08/18</t>
  </si>
  <si>
    <t>1985/12/06</t>
  </si>
  <si>
    <t>1975/07/27</t>
  </si>
  <si>
    <t>1980/05/05</t>
  </si>
  <si>
    <t>1993/08/19</t>
  </si>
  <si>
    <t>1993/03/13</t>
  </si>
  <si>
    <t>1983/02/26</t>
  </si>
  <si>
    <t>1994/05/30</t>
  </si>
  <si>
    <t>1985/10/20</t>
  </si>
  <si>
    <t>1987/08/12</t>
  </si>
  <si>
    <t>1987/05/07</t>
  </si>
  <si>
    <t>1977/07/06</t>
  </si>
  <si>
    <t>1979/09/14</t>
  </si>
  <si>
    <t>1968/02/26</t>
  </si>
  <si>
    <t>1975/01/06</t>
  </si>
  <si>
    <t>1984/06/27</t>
  </si>
  <si>
    <t>1992/04/03</t>
  </si>
  <si>
    <t>1996/05/15</t>
  </si>
  <si>
    <t>1986/02/27</t>
  </si>
  <si>
    <t>1986/08/13</t>
  </si>
  <si>
    <t>1977/12/04</t>
  </si>
  <si>
    <t>1976/11/29</t>
  </si>
  <si>
    <t>1992/01/18</t>
  </si>
  <si>
    <t>1981/03/12</t>
  </si>
  <si>
    <t>1992/01/14</t>
  </si>
  <si>
    <t>1976/06/10</t>
  </si>
  <si>
    <t>1981/01/16</t>
  </si>
  <si>
    <t>1977/08/16</t>
  </si>
  <si>
    <t>1981/12/28</t>
  </si>
  <si>
    <t>1975/03/27</t>
  </si>
  <si>
    <t>1988/09/13</t>
  </si>
  <si>
    <t>1980/01/07</t>
  </si>
  <si>
    <t>1994/09/18</t>
  </si>
  <si>
    <t>1977/09/10</t>
  </si>
  <si>
    <t>1998/01/02</t>
  </si>
  <si>
    <t>1969/11/25</t>
  </si>
  <si>
    <t>1993/07/02</t>
  </si>
  <si>
    <t>1992/10/11</t>
  </si>
  <si>
    <t>1991/07/19</t>
  </si>
  <si>
    <t>1977/09/08</t>
  </si>
  <si>
    <t>1971/03/01</t>
  </si>
  <si>
    <t>1998/10/23</t>
  </si>
  <si>
    <t>1971/05/16</t>
  </si>
  <si>
    <t>1980/05/26</t>
  </si>
  <si>
    <t>1977/04/25</t>
  </si>
  <si>
    <t>1996/02/24</t>
  </si>
  <si>
    <t>1978/10/23</t>
  </si>
  <si>
    <t>1989/07/06</t>
  </si>
  <si>
    <t>1981/01/28</t>
  </si>
  <si>
    <t>1990/11/27</t>
  </si>
  <si>
    <t>1977/09/09</t>
  </si>
  <si>
    <t>1984/12/10</t>
  </si>
  <si>
    <t>1988/04/01</t>
  </si>
  <si>
    <t>1980/09/13</t>
  </si>
  <si>
    <t>1988/09/10</t>
  </si>
  <si>
    <t>1984/12/19</t>
  </si>
  <si>
    <t>1987/09/09</t>
  </si>
  <si>
    <t>1983/02/05</t>
  </si>
  <si>
    <t>1980/02/25</t>
  </si>
  <si>
    <t>1981/02/09</t>
  </si>
  <si>
    <t>1995/05/23</t>
  </si>
  <si>
    <t>1996/04/05</t>
  </si>
  <si>
    <t>1987/07/29</t>
  </si>
  <si>
    <t>1983/04/17</t>
  </si>
  <si>
    <t>1986/03/20</t>
  </si>
  <si>
    <t>1989/09/25</t>
  </si>
  <si>
    <t>1965/04/10</t>
  </si>
  <si>
    <t>1995/06/14</t>
  </si>
  <si>
    <t>1972/11/04</t>
  </si>
  <si>
    <t>1973/03/22</t>
  </si>
  <si>
    <t>1982/06/20</t>
  </si>
  <si>
    <t>1986/04/09</t>
  </si>
  <si>
    <t>1979/01/11</t>
  </si>
  <si>
    <t>1982/11/01</t>
  </si>
  <si>
    <t>1971/03/08</t>
  </si>
  <si>
    <t>1973/09/15</t>
  </si>
  <si>
    <t>1975/11/27</t>
  </si>
  <si>
    <t>1975/01/10</t>
  </si>
  <si>
    <t>1972/08/27</t>
  </si>
  <si>
    <t>1979/11/19</t>
  </si>
  <si>
    <t>1983/04/04</t>
  </si>
  <si>
    <t>1973/09/05</t>
  </si>
  <si>
    <t>1978/09/08</t>
  </si>
  <si>
    <t>1974/01/19</t>
  </si>
  <si>
    <t>1975/12/23</t>
  </si>
  <si>
    <t>1992/10/26</t>
  </si>
  <si>
    <t>1987/07/08</t>
  </si>
  <si>
    <t>1978/02/03</t>
  </si>
  <si>
    <t>1989/06/20</t>
  </si>
  <si>
    <t>1995/03/28</t>
  </si>
  <si>
    <t>1975/04/09</t>
  </si>
  <si>
    <t>1992/07/14</t>
  </si>
  <si>
    <t>1980/01/13</t>
  </si>
  <si>
    <t>2002/09/11</t>
  </si>
  <si>
    <t>1983/04/23</t>
  </si>
  <si>
    <t>1980/11/29</t>
  </si>
  <si>
    <t>1991/07/01</t>
  </si>
  <si>
    <t>1980/07/04</t>
  </si>
  <si>
    <t>1977/03/03</t>
  </si>
  <si>
    <t>1974/12/15</t>
  </si>
  <si>
    <t>1976/12/16</t>
  </si>
  <si>
    <t>1981/06/10</t>
  </si>
  <si>
    <t>1984/11/30</t>
  </si>
  <si>
    <t>1980/12/09</t>
  </si>
  <si>
    <t>1979/03/15</t>
  </si>
  <si>
    <t>1989/02/25</t>
  </si>
  <si>
    <t>1975/11/10</t>
  </si>
  <si>
    <t>1972/03/29</t>
  </si>
  <si>
    <t>1981/12/20</t>
  </si>
  <si>
    <t>1988/02/24</t>
  </si>
  <si>
    <t>1985/10/05</t>
  </si>
  <si>
    <t>1973/05/27</t>
  </si>
  <si>
    <t>1982/11/06</t>
  </si>
  <si>
    <t>1961/02/03</t>
  </si>
  <si>
    <t>1981/05/25</t>
  </si>
  <si>
    <t>1997/03/22</t>
  </si>
  <si>
    <t>1974/09/06</t>
  </si>
  <si>
    <t>1990/05/19</t>
  </si>
  <si>
    <t>1982/07/12</t>
  </si>
  <si>
    <t>1983/12/28</t>
  </si>
  <si>
    <t>1977/12/19</t>
  </si>
  <si>
    <t>1993/07/08</t>
  </si>
  <si>
    <t>1978/01/07</t>
  </si>
  <si>
    <t>1975/08/18</t>
  </si>
  <si>
    <t>1976/08/04</t>
  </si>
  <si>
    <t>1977/05/18</t>
  </si>
  <si>
    <t>1977/03/24</t>
  </si>
  <si>
    <t>1975/04/23</t>
  </si>
  <si>
    <t>1977/09/22</t>
  </si>
  <si>
    <t>1975/09/20</t>
  </si>
  <si>
    <t>1990/03/02</t>
  </si>
  <si>
    <t>1975/08/01</t>
  </si>
  <si>
    <t>1985/05/21</t>
  </si>
  <si>
    <t>1981/10/03</t>
  </si>
  <si>
    <t>1972/01/09</t>
  </si>
  <si>
    <t>1969/01/18</t>
  </si>
  <si>
    <t>1993/07/07</t>
  </si>
  <si>
    <t>1983/11/08</t>
  </si>
  <si>
    <t>1979/02/15</t>
  </si>
  <si>
    <t>1980/05/24</t>
  </si>
  <si>
    <t>1982/02/16</t>
  </si>
  <si>
    <t>1980/08/23</t>
  </si>
  <si>
    <t>1990/06/14</t>
  </si>
  <si>
    <t>1965/11/25</t>
  </si>
  <si>
    <t>1993/04/16</t>
  </si>
  <si>
    <t>1987/11/22</t>
  </si>
  <si>
    <t>1964/12/13</t>
  </si>
  <si>
    <t>1967/03/15</t>
  </si>
  <si>
    <t>1963/10/13</t>
  </si>
  <si>
    <t>2000/03/03</t>
  </si>
  <si>
    <t>1991/01/07</t>
  </si>
  <si>
    <t>1987/01/20</t>
  </si>
  <si>
    <t>1988/04/02</t>
  </si>
  <si>
    <t>1976/04/26</t>
  </si>
  <si>
    <t>1979/11/26</t>
  </si>
  <si>
    <t>1976/09/26</t>
  </si>
  <si>
    <t>1983/02/07</t>
  </si>
  <si>
    <t>1968/05/10</t>
  </si>
  <si>
    <t>1996/10/01</t>
  </si>
  <si>
    <t>1984/11/16</t>
  </si>
  <si>
    <t>1985/09/14</t>
  </si>
  <si>
    <t>1981/02/02</t>
  </si>
  <si>
    <t>1991/07/14</t>
  </si>
  <si>
    <t>1991/11/15</t>
  </si>
  <si>
    <t>1985/09/06</t>
  </si>
  <si>
    <t>1995/02/11</t>
  </si>
  <si>
    <t>1979/07/27</t>
  </si>
  <si>
    <t>1991/11/19</t>
  </si>
  <si>
    <t>1979/03/02</t>
  </si>
  <si>
    <t>1967/01/16</t>
  </si>
  <si>
    <t>1978/12/16</t>
  </si>
  <si>
    <t>1974/01/17</t>
  </si>
  <si>
    <t>1973/06/04</t>
  </si>
  <si>
    <t>1995/03/03</t>
  </si>
  <si>
    <t>1996/11/17</t>
  </si>
  <si>
    <t>1989/02/18</t>
  </si>
  <si>
    <t>1992/03/13</t>
  </si>
  <si>
    <t>1995/02/22</t>
  </si>
  <si>
    <t>1979/01/22</t>
  </si>
  <si>
    <t>2001/03/16</t>
  </si>
  <si>
    <t>1986/01/20</t>
  </si>
  <si>
    <t>1982/08/03</t>
  </si>
  <si>
    <t>1991/11/02</t>
  </si>
  <si>
    <t>1997/07/11</t>
  </si>
  <si>
    <t>1990/02/19</t>
  </si>
  <si>
    <t>1987/07/31</t>
  </si>
  <si>
    <t>1987/12/01</t>
  </si>
  <si>
    <t>1981/01/21</t>
  </si>
  <si>
    <t>1985/02/24</t>
  </si>
  <si>
    <t>1972/06/26</t>
  </si>
  <si>
    <t>1986/04/30</t>
  </si>
  <si>
    <t>1983/04/03</t>
  </si>
  <si>
    <t>1973/02/02</t>
  </si>
  <si>
    <t>1986/07/23</t>
  </si>
  <si>
    <t>1978/01/04</t>
  </si>
  <si>
    <t>1969/10/12</t>
  </si>
  <si>
    <t>1970/11/03</t>
  </si>
  <si>
    <t>1994/06/08</t>
  </si>
  <si>
    <t>1976/10/13</t>
  </si>
  <si>
    <t>1980/09/09</t>
  </si>
  <si>
    <t>1992/06/06</t>
  </si>
  <si>
    <t>1995/09/23</t>
  </si>
  <si>
    <t>1988/09/22</t>
  </si>
  <si>
    <t>1979/12/07</t>
  </si>
  <si>
    <t>1977/01/26</t>
  </si>
  <si>
    <t>1983/09/22</t>
  </si>
  <si>
    <t>1976/04/05</t>
  </si>
  <si>
    <t>1971/01/28</t>
  </si>
  <si>
    <t>1992/12/27</t>
  </si>
  <si>
    <t>1980/01/17</t>
  </si>
  <si>
    <t>1989/08/18</t>
  </si>
  <si>
    <t>1996/10/30</t>
  </si>
  <si>
    <t>1994/01/18</t>
  </si>
  <si>
    <t>1989/05/13</t>
  </si>
  <si>
    <t>1982/01/01</t>
  </si>
  <si>
    <t>1992/07/28</t>
  </si>
  <si>
    <t>1967/01/15</t>
  </si>
  <si>
    <t>1988/03/31</t>
  </si>
  <si>
    <t>1969/11/07</t>
  </si>
  <si>
    <t>1987/02/09</t>
  </si>
  <si>
    <t>1983/12/09</t>
  </si>
  <si>
    <t>1974/10/30</t>
  </si>
  <si>
    <t>1975/06/15</t>
  </si>
  <si>
    <t>1976/07/27</t>
  </si>
  <si>
    <t>1977/10/28</t>
  </si>
  <si>
    <t>1976/06/25</t>
  </si>
  <si>
    <t>1980/11/17</t>
  </si>
  <si>
    <t>1974/04/29</t>
  </si>
  <si>
    <t>1988/09/06</t>
  </si>
  <si>
    <t>1982/03/26</t>
  </si>
  <si>
    <t>1992/06/02</t>
  </si>
  <si>
    <t>1974/12/05</t>
  </si>
  <si>
    <t>1978/02/12</t>
  </si>
  <si>
    <t>1987/10/08</t>
  </si>
  <si>
    <t>1977/12/01</t>
  </si>
  <si>
    <t>1980/12/21</t>
  </si>
  <si>
    <t>1996/10/07</t>
  </si>
  <si>
    <t>1977/12/13</t>
  </si>
  <si>
    <t>1985/01/26</t>
  </si>
  <si>
    <t>1980/04/03</t>
  </si>
  <si>
    <t>1974/07/22</t>
  </si>
  <si>
    <t>1971/04/12</t>
  </si>
  <si>
    <t>1976/11/16</t>
  </si>
  <si>
    <t>1968/06/28</t>
  </si>
  <si>
    <t>1982/06/18</t>
  </si>
  <si>
    <t>1976/09/14</t>
  </si>
  <si>
    <t>1990/07/18</t>
  </si>
  <si>
    <t>1992/02/13</t>
  </si>
  <si>
    <t>1993/01/16</t>
  </si>
  <si>
    <t>1973/02/08</t>
  </si>
  <si>
    <t>1996/09/11</t>
  </si>
  <si>
    <t>1983/02/16</t>
  </si>
  <si>
    <t>1981/02/06</t>
  </si>
  <si>
    <t>1998/10/22</t>
  </si>
  <si>
    <t>1986/02/22</t>
  </si>
  <si>
    <t>1993/12/08</t>
  </si>
  <si>
    <t>1991/09/11</t>
  </si>
  <si>
    <t>1988/11/24</t>
  </si>
  <si>
    <t>1979/04/01</t>
  </si>
  <si>
    <t>1981/06/12</t>
  </si>
  <si>
    <t>1981/05/05</t>
  </si>
  <si>
    <t>1995/07/29</t>
  </si>
  <si>
    <t>1993/08/07</t>
  </si>
  <si>
    <t>1989/10/02</t>
  </si>
  <si>
    <t>1997/10/27</t>
  </si>
  <si>
    <t>1987/01/14</t>
  </si>
  <si>
    <t>1986/12/14</t>
  </si>
  <si>
    <t>1985/06/02</t>
  </si>
  <si>
    <t>1988/01/23</t>
  </si>
  <si>
    <t>1987/04/29</t>
  </si>
  <si>
    <t>1983/09/15</t>
  </si>
  <si>
    <t>1981/07/08</t>
  </si>
  <si>
    <t>1980/04/15</t>
  </si>
  <si>
    <t>1986/04/15</t>
  </si>
  <si>
    <t>1991/02/15</t>
  </si>
  <si>
    <t>1998/05/13</t>
  </si>
  <si>
    <t>1979/02/12</t>
  </si>
  <si>
    <t>1965/08/12</t>
  </si>
  <si>
    <t>1981/11/23</t>
  </si>
  <si>
    <t>1987/11/20</t>
  </si>
  <si>
    <t>1989/02/01</t>
  </si>
  <si>
    <t>1995/03/30</t>
  </si>
  <si>
    <t>1984/04/14</t>
  </si>
  <si>
    <t>1983/05/30</t>
  </si>
  <si>
    <t>1985/12/27</t>
  </si>
  <si>
    <t>1992/08/13</t>
  </si>
  <si>
    <t>1977/03/08</t>
  </si>
  <si>
    <t>1996/03/13</t>
  </si>
  <si>
    <t>1990/01/24</t>
  </si>
  <si>
    <t>1997/12/24</t>
  </si>
  <si>
    <t>1971/02/04</t>
  </si>
  <si>
    <t>1972/07/03</t>
  </si>
  <si>
    <t>1994/01/27</t>
  </si>
  <si>
    <t>1972/05/24</t>
  </si>
  <si>
    <t>1974/01/31</t>
  </si>
  <si>
    <t>1984/11/15</t>
  </si>
  <si>
    <t>1991/09/25</t>
  </si>
  <si>
    <t>1984/06/11</t>
  </si>
  <si>
    <t>1995/03/26</t>
  </si>
  <si>
    <t>1987/10/15</t>
  </si>
  <si>
    <t>1988/11/15</t>
  </si>
  <si>
    <t>1985/08/21</t>
  </si>
  <si>
    <t>1993/03/23</t>
  </si>
  <si>
    <t>1989/05/19</t>
  </si>
  <si>
    <t>1990/01/07</t>
  </si>
  <si>
    <t>1997/08/14</t>
  </si>
  <si>
    <t>1</t>
    <phoneticPr fontId="7" type="noConversion"/>
  </si>
  <si>
    <t>2</t>
    <phoneticPr fontId="7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</si>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</sst>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###,###,###,###,###,###,###&quot; 원&quot;"/>
    <numFmt numFmtId="177" formatCode="#,##0_ "/>
    <numFmt numFmtId="178" formatCode="0.0%"/>
    <numFmt numFmtId="182" formatCode="#,##0_ ;[Red]\-#,##0\ "/>
    <numFmt numFmtId="189" formatCode="&quot;만&quot;\ ##\ &quot;세&quot;"/>
    <numFmt numFmtId="192" formatCode="##\ &quot;세&quot;"/>
    <numFmt numFmtId="198" formatCode="0.0_);[Red]\(0.0\)"/>
  </numFmts>
  <fonts count="8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u/>
      <sz val="18"/>
      <name val="돋움"/>
      <family val="3"/>
      <charset val="129"/>
    </font>
    <font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color indexed="8"/>
      <name val="맑은 고딕"/>
      <family val="3"/>
      <charset val="129"/>
    </font>
    <font>
      <u/>
      <sz val="10"/>
      <color indexed="8"/>
      <name val="맑은 고딕"/>
      <family val="3"/>
      <charset val="129"/>
    </font>
    <font>
      <b/>
      <sz val="14"/>
      <name val="돋움"/>
      <family val="3"/>
      <charset val="129"/>
    </font>
    <font>
      <b/>
      <sz val="10"/>
      <color indexed="10"/>
      <name val="맑은 고딕"/>
      <family val="3"/>
      <charset val="129"/>
    </font>
    <font>
      <b/>
      <sz val="10"/>
      <color indexed="30"/>
      <name val="맑은 고딕"/>
      <family val="3"/>
      <charset val="129"/>
    </font>
    <font>
      <b/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u/>
      <sz val="10"/>
      <color indexed="8"/>
      <name val="맑은 고딕"/>
      <family val="3"/>
      <charset val="129"/>
    </font>
    <font>
      <b/>
      <sz val="12"/>
      <color indexed="1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b/>
      <sz val="12"/>
      <color indexed="56"/>
      <name val="맑은 고딕"/>
      <family val="3"/>
      <charset val="129"/>
    </font>
    <font>
      <b/>
      <u/>
      <sz val="10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u/>
      <sz val="10"/>
      <color indexed="10"/>
      <name val="맑은 고딕"/>
      <family val="3"/>
      <charset val="129"/>
    </font>
    <font>
      <sz val="10"/>
      <color indexed="8"/>
      <name val="맑은 고딕"/>
      <family val="3"/>
      <charset val="129"/>
    </font>
    <font>
      <u/>
      <sz val="10"/>
      <color indexed="10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rgb="FF0000FF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sz val="11"/>
      <color theme="0" tint="-4.9989318521683403E-2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b/>
      <sz val="14"/>
      <color theme="3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0"/>
      <color theme="0" tint="-4.9989318521683403E-2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</fills>
  <borders count="1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6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0" borderId="1" applyNumberForma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3" borderId="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5" fillId="24" borderId="0" applyFont="0" applyFill="0" applyBorder="0">
      <alignment vertical="center"/>
    </xf>
    <xf numFmtId="0" fontId="48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9" fillId="7" borderId="1" applyNumberFormat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5" fillId="20" borderId="9" applyNumberFormat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1" fillId="0" borderId="0" applyNumberFormat="0" applyFill="0" applyBorder="0" applyAlignment="0" applyProtection="0">
      <alignment vertical="top"/>
      <protection locked="0"/>
    </xf>
  </cellStyleXfs>
  <cellXfs count="561">
    <xf numFmtId="0" fontId="0" fillId="0" borderId="0" xfId="0">
      <alignment vertical="center"/>
    </xf>
    <xf numFmtId="0" fontId="62" fillId="0" borderId="0" xfId="0" applyNumberFormat="1" applyFont="1" applyFill="1" applyBorder="1" applyAlignment="1">
      <alignment horizontal="center" vertical="center"/>
    </xf>
    <xf numFmtId="41" fontId="62" fillId="0" borderId="0" xfId="40" applyFont="1" applyFill="1" applyBorder="1" applyAlignment="1">
      <alignment horizontal="center" vertical="center"/>
    </xf>
    <xf numFmtId="0" fontId="62" fillId="29" borderId="0" xfId="0" applyNumberFormat="1" applyFont="1" applyFill="1" applyBorder="1" applyAlignment="1">
      <alignment horizontal="center" vertical="center"/>
    </xf>
    <xf numFmtId="0" fontId="63" fillId="30" borderId="0" xfId="0" applyNumberFormat="1" applyFont="1" applyFill="1" applyBorder="1" applyAlignment="1">
      <alignment horizontal="center" vertical="center"/>
    </xf>
    <xf numFmtId="0" fontId="63" fillId="31" borderId="0" xfId="0" applyNumberFormat="1" applyFont="1" applyFill="1" applyBorder="1" applyAlignment="1">
      <alignment horizontal="center" vertical="center" wrapText="1"/>
    </xf>
    <xf numFmtId="41" fontId="63" fillId="31" borderId="0" xfId="40" applyFont="1" applyFill="1" applyBorder="1" applyAlignment="1">
      <alignment horizontal="center" vertical="center"/>
    </xf>
    <xf numFmtId="41" fontId="63" fillId="31" borderId="0" xfId="40" applyFont="1" applyFill="1" applyBorder="1" applyAlignment="1">
      <alignment horizontal="center" vertical="center" wrapText="1"/>
    </xf>
    <xf numFmtId="0" fontId="63" fillId="0" borderId="0" xfId="0" applyNumberFormat="1" applyFont="1" applyFill="1" applyBorder="1" applyAlignment="1">
      <alignment horizontal="center" vertical="center" wrapText="1"/>
    </xf>
    <xf numFmtId="0" fontId="63" fillId="0" borderId="0" xfId="0" applyNumberFormat="1" applyFont="1" applyFill="1" applyBorder="1" applyAlignment="1">
      <alignment horizontal="center" vertical="center"/>
    </xf>
    <xf numFmtId="0" fontId="64" fillId="29" borderId="0" xfId="0" applyNumberFormat="1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center" vertical="center"/>
    </xf>
    <xf numFmtId="0" fontId="9" fillId="29" borderId="0" xfId="0" applyFont="1" applyFill="1" applyAlignment="1">
      <alignment vertical="center"/>
    </xf>
    <xf numFmtId="0" fontId="6" fillId="29" borderId="0" xfId="0" applyFont="1" applyFill="1" applyAlignment="1">
      <alignment vertical="center"/>
    </xf>
    <xf numFmtId="0" fontId="6" fillId="29" borderId="0" xfId="0" applyFont="1" applyFill="1" applyAlignment="1">
      <alignment horizontal="center" vertical="center"/>
    </xf>
    <xf numFmtId="0" fontId="65" fillId="29" borderId="0" xfId="0" applyNumberFormat="1" applyFont="1" applyFill="1" applyBorder="1" applyAlignment="1">
      <alignment horizontal="center" vertical="center"/>
    </xf>
    <xf numFmtId="0" fontId="66" fillId="29" borderId="0" xfId="0" applyNumberFormat="1" applyFont="1" applyFill="1" applyBorder="1" applyAlignment="1">
      <alignment horizontal="center" vertical="center" wrapText="1"/>
    </xf>
    <xf numFmtId="49" fontId="63" fillId="31" borderId="0" xfId="0" applyNumberFormat="1" applyFont="1" applyFill="1" applyBorder="1" applyAlignment="1">
      <alignment horizontal="center" vertical="center" wrapText="1"/>
    </xf>
    <xf numFmtId="0" fontId="67" fillId="32" borderId="0" xfId="0" applyNumberFormat="1" applyFont="1" applyFill="1" applyBorder="1" applyAlignment="1">
      <alignment horizontal="centerContinuous" vertical="center" wrapText="1"/>
    </xf>
    <xf numFmtId="0" fontId="67" fillId="32" borderId="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6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8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 applyBorder="1" applyAlignment="1">
      <alignment horizontal="left" vertical="center" wrapText="1" indent="1"/>
    </xf>
    <xf numFmtId="177" fontId="19" fillId="0" borderId="10" xfId="0" applyNumberFormat="1" applyFont="1" applyFill="1" applyBorder="1" applyAlignment="1">
      <alignment vertical="center"/>
    </xf>
    <xf numFmtId="177" fontId="19" fillId="0" borderId="11" xfId="0" applyNumberFormat="1" applyFont="1" applyFill="1" applyBorder="1" applyAlignment="1">
      <alignment vertical="center"/>
    </xf>
    <xf numFmtId="177" fontId="15" fillId="33" borderId="12" xfId="0" applyNumberFormat="1" applyFont="1" applyFill="1" applyBorder="1" applyAlignment="1">
      <alignment vertical="center"/>
    </xf>
    <xf numFmtId="177" fontId="19" fillId="0" borderId="13" xfId="0" applyNumberFormat="1" applyFont="1" applyFill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/>
    </xf>
    <xf numFmtId="177" fontId="19" fillId="25" borderId="10" xfId="0" applyNumberFormat="1" applyFont="1" applyFill="1" applyBorder="1" applyAlignment="1">
      <alignment horizontal="right" vertical="center"/>
    </xf>
    <xf numFmtId="177" fontId="19" fillId="0" borderId="14" xfId="0" applyNumberFormat="1" applyFont="1" applyFill="1" applyBorder="1" applyAlignment="1">
      <alignment horizontal="right" vertical="center"/>
    </xf>
    <xf numFmtId="0" fontId="15" fillId="0" borderId="0" xfId="0" applyFont="1" applyBorder="1" applyAlignment="1">
      <alignment horizontal="left" vertical="center" wrapText="1"/>
    </xf>
    <xf numFmtId="177" fontId="19" fillId="0" borderId="11" xfId="40" applyNumberFormat="1" applyFont="1" applyFill="1" applyBorder="1" applyAlignment="1">
      <alignment horizontal="right" vertical="center"/>
    </xf>
    <xf numFmtId="177" fontId="19" fillId="0" borderId="15" xfId="40" applyNumberFormat="1" applyFont="1" applyFill="1" applyBorder="1" applyAlignment="1">
      <alignment horizontal="right" vertical="center"/>
    </xf>
    <xf numFmtId="177" fontId="19" fillId="34" borderId="12" xfId="40" applyNumberFormat="1" applyFont="1" applyFill="1" applyBorder="1" applyAlignment="1">
      <alignment horizontal="right" vertical="center"/>
    </xf>
    <xf numFmtId="177" fontId="15" fillId="33" borderId="16" xfId="40" applyNumberFormat="1" applyFont="1" applyFill="1" applyBorder="1" applyAlignment="1">
      <alignment horizontal="right" vertical="center"/>
    </xf>
    <xf numFmtId="177" fontId="15" fillId="33" borderId="17" xfId="40" applyNumberFormat="1" applyFont="1" applyFill="1" applyBorder="1" applyAlignment="1">
      <alignment horizontal="right" vertical="center"/>
    </xf>
    <xf numFmtId="177" fontId="15" fillId="33" borderId="15" xfId="40" applyNumberFormat="1" applyFont="1" applyFill="1" applyBorder="1" applyAlignment="1">
      <alignment horizontal="right" vertical="center"/>
    </xf>
    <xf numFmtId="178" fontId="15" fillId="0" borderId="17" xfId="29" applyNumberFormat="1" applyFont="1" applyFill="1" applyBorder="1" applyAlignment="1">
      <alignment horizontal="right" vertical="center"/>
    </xf>
    <xf numFmtId="178" fontId="19" fillId="0" borderId="13" xfId="29" applyNumberFormat="1" applyFont="1" applyFill="1" applyBorder="1" applyAlignment="1">
      <alignment horizontal="right" vertical="center"/>
    </xf>
    <xf numFmtId="0" fontId="16" fillId="25" borderId="11" xfId="0" applyFont="1" applyFill="1" applyBorder="1" applyAlignment="1">
      <alignment horizontal="left" vertical="center" indent="1"/>
    </xf>
    <xf numFmtId="0" fontId="16" fillId="25" borderId="13" xfId="0" applyFont="1" applyFill="1" applyBorder="1" applyAlignment="1">
      <alignment horizontal="left" vertical="center" indent="1"/>
    </xf>
    <xf numFmtId="0" fontId="68" fillId="0" borderId="0" xfId="0" applyFont="1">
      <alignment vertical="center"/>
    </xf>
    <xf numFmtId="0" fontId="0" fillId="0" borderId="0" xfId="0" applyFill="1">
      <alignment vertical="center"/>
    </xf>
    <xf numFmtId="0" fontId="20" fillId="0" borderId="0" xfId="0" applyFont="1" applyFill="1" applyAlignment="1">
      <alignment vertical="center" shrinkToFit="1"/>
    </xf>
    <xf numFmtId="0" fontId="12" fillId="0" borderId="0" xfId="0" applyFont="1" applyAlignment="1">
      <alignment vertical="center"/>
    </xf>
    <xf numFmtId="0" fontId="1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Fill="1">
      <alignment vertical="center"/>
    </xf>
    <xf numFmtId="0" fontId="22" fillId="0" borderId="0" xfId="0" applyFont="1" applyAlignment="1">
      <alignment horizontal="left" vertical="center"/>
    </xf>
    <xf numFmtId="0" fontId="15" fillId="35" borderId="21" xfId="0" applyFont="1" applyFill="1" applyBorder="1" applyAlignment="1">
      <alignment horizontal="center" vertical="center" wrapText="1"/>
    </xf>
    <xf numFmtId="177" fontId="15" fillId="25" borderId="10" xfId="0" applyNumberFormat="1" applyFont="1" applyFill="1" applyBorder="1" applyAlignment="1">
      <alignment vertical="center"/>
    </xf>
    <xf numFmtId="177" fontId="15" fillId="25" borderId="22" xfId="0" applyNumberFormat="1" applyFont="1" applyFill="1" applyBorder="1" applyAlignment="1">
      <alignment vertical="center"/>
    </xf>
    <xf numFmtId="177" fontId="15" fillId="25" borderId="23" xfId="0" applyNumberFormat="1" applyFont="1" applyFill="1" applyBorder="1" applyAlignment="1">
      <alignment vertical="center"/>
    </xf>
    <xf numFmtId="177" fontId="15" fillId="26" borderId="10" xfId="0" applyNumberFormat="1" applyFont="1" applyFill="1" applyBorder="1" applyAlignment="1">
      <alignment vertical="center"/>
    </xf>
    <xf numFmtId="177" fontId="15" fillId="26" borderId="12" xfId="0" applyNumberFormat="1" applyFont="1" applyFill="1" applyBorder="1" applyAlignment="1">
      <alignment vertical="center"/>
    </xf>
    <xf numFmtId="177" fontId="15" fillId="26" borderId="22" xfId="0" applyNumberFormat="1" applyFont="1" applyFill="1" applyBorder="1" applyAlignment="1">
      <alignment vertical="center"/>
    </xf>
    <xf numFmtId="177" fontId="15" fillId="26" borderId="23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16" fillId="29" borderId="24" xfId="0" applyFont="1" applyFill="1" applyBorder="1" applyAlignment="1">
      <alignment horizontal="center" vertical="center"/>
    </xf>
    <xf numFmtId="0" fontId="69" fillId="29" borderId="24" xfId="0" applyFont="1" applyFill="1" applyBorder="1" applyAlignment="1">
      <alignment horizontal="left" vertical="center" wrapText="1" indent="1"/>
    </xf>
    <xf numFmtId="0" fontId="16" fillId="29" borderId="25" xfId="0" applyFont="1" applyFill="1" applyBorder="1" applyAlignment="1">
      <alignment horizontal="center" vertical="center"/>
    </xf>
    <xf numFmtId="0" fontId="16" fillId="29" borderId="25" xfId="0" applyFont="1" applyFill="1" applyBorder="1" applyAlignment="1">
      <alignment horizontal="left" vertical="center" indent="1"/>
    </xf>
    <xf numFmtId="0" fontId="16" fillId="29" borderId="26" xfId="0" applyFont="1" applyFill="1" applyBorder="1" applyAlignment="1">
      <alignment horizontal="center" vertical="center"/>
    </xf>
    <xf numFmtId="0" fontId="16" fillId="29" borderId="26" xfId="0" applyFont="1" applyFill="1" applyBorder="1" applyAlignment="1">
      <alignment horizontal="left" vertical="center" wrapText="1" indent="1"/>
    </xf>
    <xf numFmtId="0" fontId="16" fillId="29" borderId="27" xfId="0" applyFont="1" applyFill="1" applyBorder="1" applyAlignment="1">
      <alignment horizontal="center" vertical="center"/>
    </xf>
    <xf numFmtId="0" fontId="16" fillId="29" borderId="27" xfId="0" applyFont="1" applyFill="1" applyBorder="1" applyAlignment="1">
      <alignment horizontal="left" vertical="center" wrapText="1" indent="1"/>
    </xf>
    <xf numFmtId="0" fontId="16" fillId="29" borderId="25" xfId="0" applyFont="1" applyFill="1" applyBorder="1" applyAlignment="1">
      <alignment horizontal="left" vertical="center" wrapText="1" indent="1"/>
    </xf>
    <xf numFmtId="0" fontId="16" fillId="29" borderId="28" xfId="0" applyFont="1" applyFill="1" applyBorder="1" applyAlignment="1">
      <alignment horizontal="left" vertical="center" indent="1"/>
    </xf>
    <xf numFmtId="0" fontId="16" fillId="29" borderId="29" xfId="0" applyFont="1" applyFill="1" applyBorder="1" applyAlignment="1">
      <alignment horizontal="left" vertical="center" indent="1"/>
    </xf>
    <xf numFmtId="0" fontId="16" fillId="29" borderId="0" xfId="0" applyFont="1" applyFill="1" applyAlignment="1">
      <alignment horizontal="center" vertical="center"/>
    </xf>
    <xf numFmtId="0" fontId="16" fillId="29" borderId="0" xfId="0" applyFont="1" applyFill="1" applyAlignment="1">
      <alignment horizontal="left" vertical="center" indent="1"/>
    </xf>
    <xf numFmtId="0" fontId="17" fillId="35" borderId="15" xfId="0" applyFont="1" applyFill="1" applyBorder="1" applyAlignment="1">
      <alignment horizontal="center" vertical="center"/>
    </xf>
    <xf numFmtId="0" fontId="17" fillId="35" borderId="15" xfId="0" applyFont="1" applyFill="1" applyBorder="1" applyAlignment="1">
      <alignment horizontal="left" vertical="center"/>
    </xf>
    <xf numFmtId="0" fontId="70" fillId="0" borderId="0" xfId="0" applyFont="1">
      <alignment vertical="center"/>
    </xf>
    <xf numFmtId="0" fontId="16" fillId="0" borderId="0" xfId="0" applyFont="1">
      <alignment vertical="center"/>
    </xf>
    <xf numFmtId="0" fontId="62" fillId="29" borderId="0" xfId="0" applyNumberFormat="1" applyFont="1" applyFill="1" applyBorder="1" applyAlignment="1">
      <alignment horizontal="center" vertical="center" wrapText="1"/>
    </xf>
    <xf numFmtId="0" fontId="16" fillId="29" borderId="30" xfId="0" applyFont="1" applyFill="1" applyBorder="1" applyAlignment="1">
      <alignment horizontal="left" vertical="center" wrapText="1" indent="1"/>
    </xf>
    <xf numFmtId="0" fontId="16" fillId="29" borderId="23" xfId="0" applyFont="1" applyFill="1" applyBorder="1" applyAlignment="1">
      <alignment horizontal="center" vertical="center"/>
    </xf>
    <xf numFmtId="0" fontId="16" fillId="29" borderId="31" xfId="0" applyFont="1" applyFill="1" applyBorder="1" applyAlignment="1">
      <alignment horizontal="center" vertical="center"/>
    </xf>
    <xf numFmtId="0" fontId="16" fillId="29" borderId="32" xfId="0" applyFont="1" applyFill="1" applyBorder="1" applyAlignment="1">
      <alignment horizontal="left" vertical="center" indent="1"/>
    </xf>
    <xf numFmtId="0" fontId="16" fillId="29" borderId="33" xfId="0" applyFont="1" applyFill="1" applyBorder="1" applyAlignment="1">
      <alignment vertical="center" wrapText="1"/>
    </xf>
    <xf numFmtId="0" fontId="16" fillId="29" borderId="24" xfId="0" applyFont="1" applyFill="1" applyBorder="1" applyAlignment="1">
      <alignment horizontal="left" vertical="center" wrapText="1" indent="1"/>
    </xf>
    <xf numFmtId="0" fontId="16" fillId="29" borderId="32" xfId="0" applyFont="1" applyFill="1" applyBorder="1" applyAlignment="1">
      <alignment horizontal="left" vertical="center" wrapText="1" indent="1"/>
    </xf>
    <xf numFmtId="0" fontId="6" fillId="29" borderId="26" xfId="0" applyFont="1" applyFill="1" applyBorder="1" applyAlignment="1">
      <alignment horizontal="center" vertical="center"/>
    </xf>
    <xf numFmtId="0" fontId="16" fillId="29" borderId="28" xfId="0" applyFont="1" applyFill="1" applyBorder="1" applyAlignment="1">
      <alignment horizontal="left" vertical="center" wrapText="1" indent="1"/>
    </xf>
    <xf numFmtId="0" fontId="65" fillId="29" borderId="0" xfId="0" applyNumberFormat="1" applyFont="1" applyFill="1" applyBorder="1" applyAlignment="1">
      <alignment horizontal="center" vertical="center" wrapText="1"/>
    </xf>
    <xf numFmtId="177" fontId="19" fillId="25" borderId="12" xfId="0" applyNumberFormat="1" applyFont="1" applyFill="1" applyBorder="1" applyAlignment="1">
      <alignment horizontal="right" vertical="center"/>
    </xf>
    <xf numFmtId="177" fontId="19" fillId="25" borderId="34" xfId="0" applyNumberFormat="1" applyFont="1" applyFill="1" applyBorder="1" applyAlignment="1">
      <alignment horizontal="right" vertical="center"/>
    </xf>
    <xf numFmtId="177" fontId="19" fillId="25" borderId="35" xfId="0" applyNumberFormat="1" applyFont="1" applyFill="1" applyBorder="1" applyAlignment="1">
      <alignment horizontal="right" vertical="center"/>
    </xf>
    <xf numFmtId="177" fontId="19" fillId="0" borderId="11" xfId="0" applyNumberFormat="1" applyFont="1" applyFill="1" applyBorder="1" applyAlignment="1">
      <alignment horizontal="right" vertical="center"/>
    </xf>
    <xf numFmtId="177" fontId="19" fillId="25" borderId="36" xfId="0" applyNumberFormat="1" applyFont="1" applyFill="1" applyBorder="1" applyAlignment="1">
      <alignment horizontal="right" vertical="center"/>
    </xf>
    <xf numFmtId="0" fontId="71" fillId="0" borderId="30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 wrapText="1" indent="1"/>
    </xf>
    <xf numFmtId="0" fontId="15" fillId="0" borderId="37" xfId="0" applyFont="1" applyBorder="1" applyAlignment="1">
      <alignment horizontal="left" vertical="center" wrapText="1" indent="1"/>
    </xf>
    <xf numFmtId="0" fontId="15" fillId="0" borderId="38" xfId="0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5" fillId="0" borderId="39" xfId="0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0" fontId="15" fillId="0" borderId="40" xfId="0" applyFont="1" applyBorder="1" applyAlignment="1">
      <alignment horizontal="left" vertical="center" indent="1"/>
    </xf>
    <xf numFmtId="0" fontId="15" fillId="0" borderId="41" xfId="0" applyFont="1" applyBorder="1" applyAlignment="1">
      <alignment horizontal="left" vertical="center" indent="1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5" fillId="0" borderId="37" xfId="0" applyFont="1" applyBorder="1" applyAlignment="1">
      <alignment vertical="center" wrapText="1"/>
    </xf>
    <xf numFmtId="0" fontId="15" fillId="0" borderId="38" xfId="0" applyFont="1" applyBorder="1" applyAlignment="1">
      <alignment vertical="center" wrapText="1"/>
    </xf>
    <xf numFmtId="177" fontId="19" fillId="33" borderId="10" xfId="40" applyNumberFormat="1" applyFont="1" applyFill="1" applyBorder="1" applyAlignment="1">
      <alignment horizontal="right" vertical="center"/>
    </xf>
    <xf numFmtId="0" fontId="71" fillId="0" borderId="15" xfId="0" applyFont="1" applyBorder="1" applyAlignment="1">
      <alignment horizontal="center" vertical="center" wrapText="1"/>
    </xf>
    <xf numFmtId="177" fontId="15" fillId="33" borderId="42" xfId="40" applyNumberFormat="1" applyFont="1" applyFill="1" applyBorder="1" applyAlignment="1">
      <alignment horizontal="right" vertical="center"/>
    </xf>
    <xf numFmtId="177" fontId="15" fillId="33" borderId="22" xfId="40" applyNumberFormat="1" applyFont="1" applyFill="1" applyBorder="1" applyAlignment="1">
      <alignment horizontal="right" vertical="center"/>
    </xf>
    <xf numFmtId="177" fontId="15" fillId="33" borderId="43" xfId="40" applyNumberFormat="1" applyFont="1" applyFill="1" applyBorder="1" applyAlignment="1">
      <alignment horizontal="right" vertical="center"/>
    </xf>
    <xf numFmtId="177" fontId="15" fillId="33" borderId="23" xfId="40" applyNumberFormat="1" applyFont="1" applyFill="1" applyBorder="1" applyAlignment="1">
      <alignment horizontal="right" vertical="center"/>
    </xf>
    <xf numFmtId="177" fontId="15" fillId="33" borderId="14" xfId="40" applyNumberFormat="1" applyFont="1" applyFill="1" applyBorder="1" applyAlignment="1">
      <alignment horizontal="center" vertical="center"/>
    </xf>
    <xf numFmtId="177" fontId="69" fillId="0" borderId="11" xfId="40" applyNumberFormat="1" applyFont="1" applyFill="1" applyBorder="1" applyAlignment="1">
      <alignment horizontal="right" vertical="center"/>
    </xf>
    <xf numFmtId="177" fontId="69" fillId="0" borderId="15" xfId="40" applyNumberFormat="1" applyFont="1" applyFill="1" applyBorder="1" applyAlignment="1">
      <alignment horizontal="right" vertical="center"/>
    </xf>
    <xf numFmtId="0" fontId="69" fillId="0" borderId="11" xfId="0" applyFont="1" applyBorder="1" applyAlignment="1">
      <alignment horizontal="center" vertical="center"/>
    </xf>
    <xf numFmtId="177" fontId="15" fillId="34" borderId="10" xfId="40" applyNumberFormat="1" applyFont="1" applyFill="1" applyBorder="1" applyAlignment="1">
      <alignment horizontal="right" vertical="center"/>
    </xf>
    <xf numFmtId="177" fontId="15" fillId="34" borderId="44" xfId="40" applyNumberFormat="1" applyFont="1" applyFill="1" applyBorder="1" applyAlignment="1">
      <alignment horizontal="right" vertical="center"/>
    </xf>
    <xf numFmtId="177" fontId="15" fillId="34" borderId="35" xfId="40" applyNumberFormat="1" applyFont="1" applyFill="1" applyBorder="1" applyAlignment="1">
      <alignment horizontal="right" vertical="center"/>
    </xf>
    <xf numFmtId="177" fontId="15" fillId="34" borderId="17" xfId="40" applyNumberFormat="1" applyFont="1" applyFill="1" applyBorder="1" applyAlignment="1">
      <alignment horizontal="right" vertical="center"/>
    </xf>
    <xf numFmtId="177" fontId="15" fillId="34" borderId="12" xfId="40" applyNumberFormat="1" applyFont="1" applyFill="1" applyBorder="1" applyAlignment="1">
      <alignment horizontal="right" vertical="center"/>
    </xf>
    <xf numFmtId="177" fontId="15" fillId="34" borderId="22" xfId="40" applyNumberFormat="1" applyFont="1" applyFill="1" applyBorder="1" applyAlignment="1">
      <alignment horizontal="right" vertical="center"/>
    </xf>
    <xf numFmtId="177" fontId="15" fillId="34" borderId="42" xfId="40" applyNumberFormat="1" applyFont="1" applyFill="1" applyBorder="1" applyAlignment="1">
      <alignment horizontal="right" vertical="center"/>
    </xf>
    <xf numFmtId="0" fontId="69" fillId="0" borderId="0" xfId="0" applyFont="1">
      <alignment vertical="center"/>
    </xf>
    <xf numFmtId="0" fontId="0" fillId="0" borderId="10" xfId="0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7" fontId="19" fillId="34" borderId="10" xfId="0" applyNumberFormat="1" applyFont="1" applyFill="1" applyBorder="1" applyAlignment="1">
      <alignment horizontal="right" vertical="center"/>
    </xf>
    <xf numFmtId="177" fontId="19" fillId="34" borderId="36" xfId="0" applyNumberFormat="1" applyFont="1" applyFill="1" applyBorder="1" applyAlignment="1">
      <alignment horizontal="right" vertical="center"/>
    </xf>
    <xf numFmtId="0" fontId="72" fillId="0" borderId="0" xfId="0" applyFont="1">
      <alignment vertical="center"/>
    </xf>
    <xf numFmtId="0" fontId="60" fillId="36" borderId="4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59" fillId="0" borderId="0" xfId="0" applyFont="1" applyFill="1" applyBorder="1" applyAlignment="1">
      <alignment horizontal="center" vertical="center"/>
    </xf>
    <xf numFmtId="0" fontId="15" fillId="0" borderId="11" xfId="0" applyFont="1" applyBorder="1" applyAlignment="1">
      <alignment vertical="center" wrapText="1"/>
    </xf>
    <xf numFmtId="0" fontId="15" fillId="0" borderId="41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5" fillId="0" borderId="46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73" fillId="31" borderId="47" xfId="0" applyFont="1" applyFill="1" applyBorder="1" applyAlignment="1">
      <alignment vertical="center"/>
    </xf>
    <xf numFmtId="0" fontId="73" fillId="31" borderId="41" xfId="0" applyFont="1" applyFill="1" applyBorder="1" applyAlignment="1">
      <alignment vertical="center"/>
    </xf>
    <xf numFmtId="0" fontId="68" fillId="0" borderId="0" xfId="0" applyFont="1" applyAlignment="1">
      <alignment horizontal="center" vertical="center"/>
    </xf>
    <xf numFmtId="0" fontId="68" fillId="35" borderId="48" xfId="0" applyFont="1" applyFill="1" applyBorder="1" applyAlignment="1">
      <alignment horizontal="center" vertical="center"/>
    </xf>
    <xf numFmtId="0" fontId="68" fillId="35" borderId="49" xfId="0" applyFont="1" applyFill="1" applyBorder="1" applyAlignment="1">
      <alignment horizontal="center" vertical="center"/>
    </xf>
    <xf numFmtId="0" fontId="68" fillId="0" borderId="50" xfId="0" applyFont="1" applyBorder="1" applyAlignment="1">
      <alignment horizontal="center" vertical="center" wrapText="1"/>
    </xf>
    <xf numFmtId="0" fontId="68" fillId="0" borderId="51" xfId="0" applyFont="1" applyBorder="1" applyAlignment="1">
      <alignment horizontal="center" vertical="center"/>
    </xf>
    <xf numFmtId="0" fontId="68" fillId="0" borderId="51" xfId="0" applyFont="1" applyBorder="1">
      <alignment vertical="center"/>
    </xf>
    <xf numFmtId="0" fontId="68" fillId="37" borderId="52" xfId="0" applyFont="1" applyFill="1" applyBorder="1" applyAlignment="1">
      <alignment horizontal="center" vertical="center"/>
    </xf>
    <xf numFmtId="0" fontId="74" fillId="0" borderId="0" xfId="0" applyFont="1" applyFill="1">
      <alignment vertical="center"/>
    </xf>
    <xf numFmtId="0" fontId="60" fillId="0" borderId="0" xfId="0" applyFont="1">
      <alignment vertical="center"/>
    </xf>
    <xf numFmtId="0" fontId="68" fillId="35" borderId="53" xfId="0" applyFont="1" applyFill="1" applyBorder="1" applyAlignment="1">
      <alignment horizontal="center" vertical="center" wrapText="1"/>
    </xf>
    <xf numFmtId="14" fontId="62" fillId="0" borderId="0" xfId="0" applyNumberFormat="1" applyFont="1" applyFill="1" applyBorder="1" applyAlignment="1">
      <alignment horizontal="center" vertical="center"/>
    </xf>
    <xf numFmtId="0" fontId="63" fillId="31" borderId="0" xfId="4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41" fontId="16" fillId="0" borderId="54" xfId="0" applyNumberFormat="1" applyFont="1" applyBorder="1" applyAlignment="1">
      <alignment horizontal="center" vertical="center" wrapText="1"/>
    </xf>
    <xf numFmtId="0" fontId="15" fillId="33" borderId="15" xfId="0" applyFont="1" applyFill="1" applyBorder="1" applyAlignment="1">
      <alignment horizontal="center" vertical="center"/>
    </xf>
    <xf numFmtId="0" fontId="76" fillId="0" borderId="0" xfId="0" applyFont="1">
      <alignment vertical="center"/>
    </xf>
    <xf numFmtId="0" fontId="1" fillId="0" borderId="0" xfId="63" applyBorder="1">
      <alignment vertical="center"/>
    </xf>
    <xf numFmtId="0" fontId="11" fillId="0" borderId="0" xfId="63" applyFont="1" applyBorder="1" applyAlignment="1">
      <alignment horizontal="right" vertical="center"/>
    </xf>
    <xf numFmtId="0" fontId="77" fillId="0" borderId="0" xfId="63" applyFont="1" applyBorder="1" applyAlignment="1">
      <alignment horizontal="left" vertical="center"/>
    </xf>
    <xf numFmtId="0" fontId="11" fillId="0" borderId="0" xfId="63" applyFont="1" applyBorder="1" applyAlignment="1">
      <alignment vertical="center"/>
    </xf>
    <xf numFmtId="0" fontId="11" fillId="0" borderId="0" xfId="63" applyFont="1" applyBorder="1">
      <alignment vertical="center"/>
    </xf>
    <xf numFmtId="0" fontId="11" fillId="0" borderId="0" xfId="63" applyFont="1">
      <alignment vertical="center"/>
    </xf>
    <xf numFmtId="0" fontId="37" fillId="0" borderId="0" xfId="63" applyFont="1" applyBorder="1" applyAlignment="1">
      <alignment horizontal="left" vertical="center"/>
    </xf>
    <xf numFmtId="0" fontId="11" fillId="0" borderId="0" xfId="63" quotePrefix="1" applyFont="1" applyBorder="1" applyAlignment="1">
      <alignment horizontal="left" vertical="center"/>
    </xf>
    <xf numFmtId="0" fontId="11" fillId="0" borderId="0" xfId="63" applyFont="1" applyBorder="1" applyAlignment="1">
      <alignment horizontal="left" vertical="center"/>
    </xf>
    <xf numFmtId="0" fontId="11" fillId="38" borderId="15" xfId="63" applyFont="1" applyFill="1" applyBorder="1" applyAlignment="1">
      <alignment horizontal="center" vertical="center"/>
    </xf>
    <xf numFmtId="0" fontId="11" fillId="0" borderId="15" xfId="63" applyFont="1" applyBorder="1" applyAlignment="1">
      <alignment horizontal="center" vertical="center"/>
    </xf>
    <xf numFmtId="0" fontId="11" fillId="0" borderId="15" xfId="63" applyFont="1" applyBorder="1" applyAlignment="1">
      <alignment horizontal="left" vertical="center" indent="1"/>
    </xf>
    <xf numFmtId="0" fontId="11" fillId="0" borderId="15" xfId="63" applyFont="1" applyBorder="1" applyAlignment="1">
      <alignment horizontal="right" vertical="center"/>
    </xf>
    <xf numFmtId="0" fontId="11" fillId="0" borderId="0" xfId="63" applyFont="1" applyBorder="1" applyAlignment="1">
      <alignment horizontal="center" vertical="center"/>
    </xf>
    <xf numFmtId="0" fontId="11" fillId="0" borderId="0" xfId="63" applyFont="1" applyBorder="1" applyAlignment="1">
      <alignment horizontal="left" vertical="center" indent="1"/>
    </xf>
    <xf numFmtId="0" fontId="1" fillId="0" borderId="0" xfId="63">
      <alignment vertical="center"/>
    </xf>
    <xf numFmtId="0" fontId="11" fillId="0" borderId="107" xfId="63" applyFont="1" applyBorder="1" applyAlignment="1">
      <alignment horizontal="left" vertical="center"/>
    </xf>
    <xf numFmtId="0" fontId="11" fillId="0" borderId="108" xfId="63" applyFont="1" applyBorder="1" applyAlignment="1">
      <alignment horizontal="right" vertical="center"/>
    </xf>
    <xf numFmtId="0" fontId="11" fillId="0" borderId="109" xfId="63" applyFont="1" applyBorder="1" applyAlignment="1">
      <alignment horizontal="right" vertical="center"/>
    </xf>
    <xf numFmtId="0" fontId="11" fillId="39" borderId="110" xfId="63" applyFont="1" applyFill="1" applyBorder="1" applyAlignment="1">
      <alignment horizontal="left" vertical="center"/>
    </xf>
    <xf numFmtId="0" fontId="11" fillId="39" borderId="0" xfId="63" applyFont="1" applyFill="1" applyBorder="1" applyAlignment="1">
      <alignment horizontal="left" vertical="center"/>
    </xf>
    <xf numFmtId="0" fontId="11" fillId="39" borderId="111" xfId="63" applyFont="1" applyFill="1" applyBorder="1" applyAlignment="1">
      <alignment horizontal="right" vertical="center"/>
    </xf>
    <xf numFmtId="0" fontId="11" fillId="39" borderId="112" xfId="63" applyFont="1" applyFill="1" applyBorder="1" applyAlignment="1">
      <alignment horizontal="left" vertical="center"/>
    </xf>
    <xf numFmtId="0" fontId="11" fillId="39" borderId="113" xfId="63" applyFont="1" applyFill="1" applyBorder="1" applyAlignment="1">
      <alignment horizontal="left" vertical="center"/>
    </xf>
    <xf numFmtId="0" fontId="11" fillId="39" borderId="114" xfId="63" applyFont="1" applyFill="1" applyBorder="1" applyAlignment="1">
      <alignment horizontal="right" vertical="center"/>
    </xf>
    <xf numFmtId="0" fontId="11" fillId="27" borderId="0" xfId="63" applyFont="1" applyFill="1" applyBorder="1" applyAlignment="1">
      <alignment horizontal="right" vertical="center" indent="1"/>
    </xf>
    <xf numFmtId="0" fontId="11" fillId="27" borderId="0" xfId="63" applyFont="1" applyFill="1" applyBorder="1" applyAlignment="1">
      <alignment horizontal="right" vertical="center" indent="2"/>
    </xf>
    <xf numFmtId="0" fontId="11" fillId="27" borderId="0" xfId="63" applyFont="1" applyFill="1" applyBorder="1" applyAlignment="1">
      <alignment horizontal="right" vertical="center"/>
    </xf>
    <xf numFmtId="0" fontId="11" fillId="27" borderId="0" xfId="63" applyFont="1" applyFill="1" applyBorder="1" applyAlignment="1">
      <alignment horizontal="center" vertical="center"/>
    </xf>
    <xf numFmtId="0" fontId="11" fillId="27" borderId="0" xfId="63" applyFont="1" applyFill="1" applyBorder="1" applyAlignment="1">
      <alignment vertical="center"/>
    </xf>
    <xf numFmtId="0" fontId="11" fillId="0" borderId="0" xfId="63" applyFont="1" applyBorder="1" applyAlignment="1">
      <alignment horizontal="right" vertical="center" indent="1"/>
    </xf>
    <xf numFmtId="0" fontId="11" fillId="31" borderId="0" xfId="63" applyFont="1" applyFill="1" applyBorder="1" applyAlignment="1">
      <alignment horizontal="right" vertical="center" indent="2"/>
    </xf>
    <xf numFmtId="182" fontId="11" fillId="31" borderId="0" xfId="63" applyNumberFormat="1" applyFont="1" applyFill="1" applyBorder="1" applyAlignment="1">
      <alignment horizontal="right" vertical="center"/>
    </xf>
    <xf numFmtId="0" fontId="11" fillId="31" borderId="0" xfId="63" applyFont="1" applyFill="1" applyBorder="1" applyAlignment="1">
      <alignment horizontal="left" vertical="center" indent="1"/>
    </xf>
    <xf numFmtId="41" fontId="11" fillId="31" borderId="0" xfId="38" applyFont="1" applyFill="1" applyBorder="1" applyAlignment="1">
      <alignment horizontal="right" vertical="center"/>
    </xf>
    <xf numFmtId="0" fontId="37" fillId="0" borderId="0" xfId="63" applyFont="1" applyAlignment="1">
      <alignment horizontal="right" vertical="center" indent="1"/>
    </xf>
    <xf numFmtId="0" fontId="37" fillId="0" borderId="0" xfId="63" applyFont="1" applyAlignment="1">
      <alignment horizontal="right" vertical="center" indent="2"/>
    </xf>
    <xf numFmtId="41" fontId="37" fillId="0" borderId="0" xfId="38" applyFont="1" applyAlignment="1">
      <alignment horizontal="right" vertical="center"/>
    </xf>
    <xf numFmtId="0" fontId="37" fillId="0" borderId="0" xfId="63" applyFont="1" applyAlignment="1">
      <alignment horizontal="left" vertical="center" indent="1"/>
    </xf>
    <xf numFmtId="0" fontId="37" fillId="0" borderId="0" xfId="63" applyFont="1" applyAlignment="1">
      <alignment vertical="center"/>
    </xf>
    <xf numFmtId="0" fontId="37" fillId="0" borderId="0" xfId="63" applyFont="1">
      <alignment vertical="center"/>
    </xf>
    <xf numFmtId="0" fontId="37" fillId="0" borderId="0" xfId="63" applyFont="1" applyAlignment="1">
      <alignment horizontal="right" vertical="center"/>
    </xf>
    <xf numFmtId="0" fontId="12" fillId="0" borderId="0" xfId="63" applyFont="1">
      <alignment vertical="center"/>
    </xf>
    <xf numFmtId="3" fontId="11" fillId="0" borderId="0" xfId="63" applyNumberFormat="1" applyFont="1" applyBorder="1" applyAlignment="1">
      <alignment horizontal="right" vertical="center"/>
    </xf>
    <xf numFmtId="0" fontId="11" fillId="0" borderId="0" xfId="63" applyFont="1" applyAlignment="1">
      <alignment horizontal="right" vertical="center"/>
    </xf>
    <xf numFmtId="0" fontId="11" fillId="0" borderId="0" xfId="63" applyFont="1" applyAlignment="1">
      <alignment vertical="center"/>
    </xf>
    <xf numFmtId="0" fontId="68" fillId="0" borderId="0" xfId="0" applyFont="1" applyBorder="1">
      <alignment vertical="center"/>
    </xf>
    <xf numFmtId="0" fontId="62" fillId="0" borderId="0" xfId="40" applyNumberFormat="1" applyFont="1" applyFill="1" applyBorder="1" applyAlignment="1">
      <alignment horizontal="center" vertical="center"/>
    </xf>
    <xf numFmtId="0" fontId="71" fillId="0" borderId="0" xfId="0" applyFont="1">
      <alignment vertical="center"/>
    </xf>
    <xf numFmtId="0" fontId="68" fillId="0" borderId="24" xfId="0" applyFont="1" applyBorder="1" applyAlignment="1">
      <alignment horizontal="center" vertical="center"/>
    </xf>
    <xf numFmtId="0" fontId="68" fillId="0" borderId="24" xfId="0" applyFont="1" applyBorder="1">
      <alignment vertical="center"/>
    </xf>
    <xf numFmtId="0" fontId="68" fillId="0" borderId="25" xfId="0" applyFont="1" applyBorder="1" applyAlignment="1">
      <alignment horizontal="center" vertical="center"/>
    </xf>
    <xf numFmtId="0" fontId="68" fillId="0" borderId="25" xfId="0" applyFont="1" applyBorder="1">
      <alignment vertical="center"/>
    </xf>
    <xf numFmtId="0" fontId="68" fillId="37" borderId="55" xfId="0" applyFont="1" applyFill="1" applyBorder="1" applyAlignment="1">
      <alignment horizontal="center" vertical="center"/>
    </xf>
    <xf numFmtId="0" fontId="68" fillId="0" borderId="26" xfId="0" applyFont="1" applyBorder="1" applyAlignment="1">
      <alignment horizontal="center" vertical="center"/>
    </xf>
    <xf numFmtId="0" fontId="68" fillId="0" borderId="26" xfId="0" applyFont="1" applyBorder="1">
      <alignment vertical="center"/>
    </xf>
    <xf numFmtId="0" fontId="68" fillId="37" borderId="56" xfId="0" applyFont="1" applyFill="1" applyBorder="1" applyAlignment="1">
      <alignment horizontal="center" vertical="center"/>
    </xf>
    <xf numFmtId="0" fontId="68" fillId="40" borderId="24" xfId="0" applyFont="1" applyFill="1" applyBorder="1" applyAlignment="1">
      <alignment horizontal="center" vertical="center"/>
    </xf>
    <xf numFmtId="0" fontId="68" fillId="40" borderId="24" xfId="0" applyFont="1" applyFill="1" applyBorder="1">
      <alignment vertical="center"/>
    </xf>
    <xf numFmtId="0" fontId="68" fillId="40" borderId="57" xfId="0" applyFont="1" applyFill="1" applyBorder="1" applyAlignment="1">
      <alignment horizontal="center" vertical="center"/>
    </xf>
    <xf numFmtId="0" fontId="68" fillId="40" borderId="25" xfId="0" applyFont="1" applyFill="1" applyBorder="1" applyAlignment="1">
      <alignment horizontal="center" vertical="center"/>
    </xf>
    <xf numFmtId="0" fontId="68" fillId="40" borderId="25" xfId="0" applyFont="1" applyFill="1" applyBorder="1" applyAlignment="1">
      <alignment vertical="center" wrapText="1"/>
    </xf>
    <xf numFmtId="0" fontId="68" fillId="40" borderId="55" xfId="0" applyFont="1" applyFill="1" applyBorder="1" applyAlignment="1">
      <alignment horizontal="center" vertical="center"/>
    </xf>
    <xf numFmtId="0" fontId="68" fillId="40" borderId="25" xfId="0" applyFont="1" applyFill="1" applyBorder="1">
      <alignment vertical="center"/>
    </xf>
    <xf numFmtId="0" fontId="68" fillId="40" borderId="26" xfId="0" applyFont="1" applyFill="1" applyBorder="1" applyAlignment="1">
      <alignment horizontal="center" vertical="center"/>
    </xf>
    <xf numFmtId="0" fontId="68" fillId="40" borderId="26" xfId="0" applyFont="1" applyFill="1" applyBorder="1">
      <alignment vertical="center"/>
    </xf>
    <xf numFmtId="0" fontId="68" fillId="40" borderId="56" xfId="0" applyFont="1" applyFill="1" applyBorder="1" applyAlignment="1">
      <alignment horizontal="center" vertical="center"/>
    </xf>
    <xf numFmtId="0" fontId="10" fillId="29" borderId="0" xfId="0" applyNumberFormat="1" applyFont="1" applyFill="1" applyBorder="1" applyAlignment="1">
      <alignment horizontal="center" vertical="center"/>
    </xf>
    <xf numFmtId="192" fontId="15" fillId="33" borderId="15" xfId="0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1" fillId="38" borderId="0" xfId="63" applyFont="1" applyFill="1" applyBorder="1" applyAlignment="1">
      <alignment horizontal="right" vertical="center"/>
    </xf>
    <xf numFmtId="0" fontId="78" fillId="0" borderId="0" xfId="63" quotePrefix="1" applyFont="1" applyBorder="1" applyAlignment="1">
      <alignment horizontal="left" vertical="center"/>
    </xf>
    <xf numFmtId="0" fontId="73" fillId="31" borderId="40" xfId="0" applyFont="1" applyFill="1" applyBorder="1" applyAlignment="1">
      <alignment vertical="center"/>
    </xf>
    <xf numFmtId="0" fontId="79" fillId="31" borderId="11" xfId="0" applyFont="1" applyFill="1" applyBorder="1" applyAlignment="1">
      <alignment horizontal="left" vertical="center" wrapText="1" indent="1"/>
    </xf>
    <xf numFmtId="41" fontId="63" fillId="31" borderId="0" xfId="33" applyFont="1" applyFill="1" applyBorder="1" applyAlignment="1">
      <alignment horizontal="center" vertical="center" wrapText="1"/>
    </xf>
    <xf numFmtId="41" fontId="62" fillId="0" borderId="0" xfId="33" applyFont="1" applyFill="1" applyBorder="1" applyAlignment="1">
      <alignment horizontal="center" vertical="center"/>
    </xf>
    <xf numFmtId="0" fontId="0" fillId="0" borderId="0" xfId="0">
      <alignment vertical="center"/>
    </xf>
    <xf numFmtId="0" fontId="62" fillId="0" borderId="0" xfId="0" applyNumberFormat="1" applyFont="1" applyFill="1" applyBorder="1" applyAlignment="1">
      <alignment horizontal="center" vertical="center"/>
    </xf>
    <xf numFmtId="49" fontId="62" fillId="0" borderId="0" xfId="0" applyNumberFormat="1" applyFont="1" applyFill="1" applyBorder="1" applyAlignment="1">
      <alignment horizontal="center" vertical="center"/>
    </xf>
    <xf numFmtId="0" fontId="63" fillId="31" borderId="0" xfId="0" applyNumberFormat="1" applyFont="1" applyFill="1" applyBorder="1" applyAlignment="1">
      <alignment horizontal="center" vertical="center" wrapText="1"/>
    </xf>
    <xf numFmtId="9" fontId="16" fillId="25" borderId="14" xfId="0" applyNumberFormat="1" applyFont="1" applyFill="1" applyBorder="1" applyAlignment="1">
      <alignment horizontal="center" vertical="center"/>
    </xf>
    <xf numFmtId="49" fontId="68" fillId="0" borderId="26" xfId="0" applyNumberFormat="1" applyFont="1" applyBorder="1" applyAlignment="1">
      <alignment horizontal="center" vertical="center"/>
    </xf>
    <xf numFmtId="0" fontId="68" fillId="0" borderId="23" xfId="0" applyFont="1" applyBorder="1">
      <alignment vertical="center"/>
    </xf>
    <xf numFmtId="0" fontId="68" fillId="0" borderId="15" xfId="0" applyFont="1" applyBorder="1" applyAlignment="1">
      <alignment horizontal="center" vertical="center"/>
    </xf>
    <xf numFmtId="0" fontId="68" fillId="0" borderId="23" xfId="0" applyFont="1" applyBorder="1" applyAlignment="1">
      <alignment horizontal="center" vertical="center"/>
    </xf>
    <xf numFmtId="0" fontId="62" fillId="0" borderId="0" xfId="0" applyNumberFormat="1" applyFont="1" applyFill="1" applyBorder="1" applyAlignment="1">
      <alignment horizontal="center" vertical="center"/>
    </xf>
    <xf numFmtId="41" fontId="62" fillId="0" borderId="0" xfId="45" applyFont="1" applyFill="1" applyBorder="1" applyAlignment="1">
      <alignment horizontal="center" vertical="center"/>
    </xf>
    <xf numFmtId="49" fontId="62" fillId="0" borderId="0" xfId="0" applyNumberFormat="1" applyFont="1" applyFill="1" applyBorder="1" applyAlignment="1">
      <alignment horizontal="center" vertical="center"/>
    </xf>
    <xf numFmtId="49" fontId="19" fillId="0" borderId="11" xfId="0" applyNumberFormat="1" applyFont="1" applyFill="1" applyBorder="1" applyAlignment="1">
      <alignment horizontal="center" vertical="center"/>
    </xf>
    <xf numFmtId="49" fontId="15" fillId="0" borderId="15" xfId="0" applyNumberFormat="1" applyFont="1" applyFill="1" applyBorder="1" applyAlignment="1">
      <alignment horizontal="center" vertical="center"/>
    </xf>
    <xf numFmtId="41" fontId="62" fillId="0" borderId="0" xfId="45" applyFont="1" applyFill="1" applyBorder="1" applyAlignment="1">
      <alignment horizontal="left" vertical="center"/>
    </xf>
    <xf numFmtId="0" fontId="69" fillId="29" borderId="25" xfId="0" applyFont="1" applyFill="1" applyBorder="1" applyAlignment="1">
      <alignment horizontal="left" vertical="center" indent="1"/>
    </xf>
    <xf numFmtId="0" fontId="71" fillId="0" borderId="58" xfId="0" applyNumberFormat="1" applyFont="1" applyBorder="1" applyAlignment="1">
      <alignment horizontal="center" vertical="center"/>
    </xf>
    <xf numFmtId="41" fontId="64" fillId="31" borderId="0" xfId="40" applyFont="1" applyFill="1" applyBorder="1" applyAlignment="1">
      <alignment horizontal="center" vertical="center" wrapText="1"/>
    </xf>
    <xf numFmtId="14" fontId="62" fillId="0" borderId="0" xfId="45" applyNumberFormat="1" applyFont="1" applyFill="1" applyBorder="1" applyAlignment="1">
      <alignment horizontal="center" vertical="center"/>
    </xf>
    <xf numFmtId="41" fontId="58" fillId="0" borderId="0" xfId="33" applyFont="1">
      <alignment vertical="center"/>
    </xf>
    <xf numFmtId="198" fontId="63" fillId="31" borderId="0" xfId="0" applyNumberFormat="1" applyFont="1" applyFill="1" applyBorder="1" applyAlignment="1">
      <alignment horizontal="center" vertical="center" wrapText="1"/>
    </xf>
    <xf numFmtId="198" fontId="62" fillId="0" borderId="0" xfId="45" applyNumberFormat="1" applyFont="1" applyFill="1" applyBorder="1" applyAlignment="1">
      <alignment horizontal="center" vertical="center"/>
    </xf>
    <xf numFmtId="198" fontId="0" fillId="0" borderId="0" xfId="0" applyNumberFormat="1">
      <alignment vertical="center"/>
    </xf>
    <xf numFmtId="0" fontId="62" fillId="38" borderId="0" xfId="0" applyNumberFormat="1" applyFont="1" applyFill="1" applyBorder="1" applyAlignment="1">
      <alignment horizontal="center" vertical="center"/>
    </xf>
    <xf numFmtId="0" fontId="62" fillId="41" borderId="0" xfId="0" applyNumberFormat="1" applyFont="1" applyFill="1" applyBorder="1" applyAlignment="1">
      <alignment horizontal="center" vertical="center"/>
    </xf>
    <xf numFmtId="0" fontId="68" fillId="40" borderId="59" xfId="0" applyFont="1" applyFill="1" applyBorder="1" applyAlignment="1">
      <alignment horizontal="center" vertical="center" wrapText="1"/>
    </xf>
    <xf numFmtId="0" fontId="68" fillId="40" borderId="60" xfId="0" applyFont="1" applyFill="1" applyBorder="1" applyAlignment="1">
      <alignment horizontal="center" vertical="center" wrapText="1"/>
    </xf>
    <xf numFmtId="0" fontId="68" fillId="40" borderId="18" xfId="0" applyFont="1" applyFill="1" applyBorder="1" applyAlignment="1">
      <alignment horizontal="center" vertical="center" wrapText="1"/>
    </xf>
    <xf numFmtId="0" fontId="68" fillId="0" borderId="59" xfId="0" applyFont="1" applyBorder="1" applyAlignment="1">
      <alignment horizontal="center" vertical="center" wrapText="1"/>
    </xf>
    <xf numFmtId="0" fontId="68" fillId="0" borderId="60" xfId="0" applyFont="1" applyBorder="1" applyAlignment="1">
      <alignment horizontal="center" vertical="center" wrapText="1"/>
    </xf>
    <xf numFmtId="0" fontId="68" fillId="0" borderId="18" xfId="0" applyFont="1" applyBorder="1" applyAlignment="1">
      <alignment horizontal="center" vertical="center" wrapText="1"/>
    </xf>
    <xf numFmtId="0" fontId="19" fillId="35" borderId="34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/>
    </xf>
    <xf numFmtId="0" fontId="19" fillId="35" borderId="76" xfId="0" applyFont="1" applyFill="1" applyBorder="1" applyAlignment="1">
      <alignment horizontal="center" vertical="center"/>
    </xf>
    <xf numFmtId="0" fontId="19" fillId="35" borderId="105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68" fillId="0" borderId="11" xfId="0" applyFont="1" applyBorder="1" applyAlignment="1">
      <alignment horizontal="center" vertical="center" wrapText="1"/>
    </xf>
    <xf numFmtId="0" fontId="68" fillId="0" borderId="41" xfId="0" applyFont="1" applyBorder="1" applyAlignment="1">
      <alignment horizontal="center" vertical="center" wrapText="1"/>
    </xf>
    <xf numFmtId="178" fontId="16" fillId="25" borderId="11" xfId="29" applyNumberFormat="1" applyFont="1" applyFill="1" applyBorder="1" applyAlignment="1">
      <alignment horizontal="center" vertical="center"/>
    </xf>
    <xf numFmtId="178" fontId="16" fillId="25" borderId="40" xfId="29" applyNumberFormat="1" applyFont="1" applyFill="1" applyBorder="1" applyAlignment="1">
      <alignment horizontal="center" vertical="center"/>
    </xf>
    <xf numFmtId="178" fontId="16" fillId="25" borderId="47" xfId="29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left" vertical="center" wrapText="1" indent="1"/>
    </xf>
    <xf numFmtId="0" fontId="15" fillId="0" borderId="80" xfId="0" applyFont="1" applyBorder="1" applyAlignment="1">
      <alignment horizontal="left" vertical="center" wrapText="1" indent="1"/>
    </xf>
    <xf numFmtId="0" fontId="15" fillId="0" borderId="61" xfId="0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wrapText="1" indent="1"/>
    </xf>
    <xf numFmtId="0" fontId="15" fillId="0" borderId="0" xfId="0" applyFont="1" applyBorder="1" applyAlignment="1">
      <alignment horizontal="left" vertical="center" wrapText="1" indent="1"/>
    </xf>
    <xf numFmtId="0" fontId="15" fillId="0" borderId="39" xfId="0" applyFont="1" applyBorder="1" applyAlignment="1">
      <alignment horizontal="left" vertical="center" wrapText="1" indent="1"/>
    </xf>
    <xf numFmtId="0" fontId="15" fillId="0" borderId="12" xfId="0" applyFont="1" applyBorder="1" applyAlignment="1">
      <alignment horizontal="left" vertical="center" wrapText="1" indent="1"/>
    </xf>
    <xf numFmtId="0" fontId="15" fillId="0" borderId="37" xfId="0" applyFont="1" applyBorder="1" applyAlignment="1">
      <alignment horizontal="left" vertical="center" wrapText="1" indent="1"/>
    </xf>
    <xf numFmtId="0" fontId="15" fillId="0" borderId="38" xfId="0" applyFont="1" applyBorder="1" applyAlignment="1">
      <alignment horizontal="left" vertical="center" wrapText="1" indent="1"/>
    </xf>
    <xf numFmtId="0" fontId="15" fillId="0" borderId="11" xfId="0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0" fontId="69" fillId="0" borderId="11" xfId="0" applyFont="1" applyBorder="1" applyAlignment="1">
      <alignment horizontal="left" vertical="center" indent="1"/>
    </xf>
    <xf numFmtId="0" fontId="69" fillId="0" borderId="40" xfId="0" applyFont="1" applyBorder="1" applyAlignment="1">
      <alignment horizontal="left" vertical="center" indent="1"/>
    </xf>
    <xf numFmtId="0" fontId="69" fillId="0" borderId="41" xfId="0" applyFont="1" applyBorder="1" applyAlignment="1">
      <alignment horizontal="left" vertical="center" indent="1"/>
    </xf>
    <xf numFmtId="0" fontId="16" fillId="0" borderId="102" xfId="0" applyFont="1" applyFill="1" applyBorder="1" applyAlignment="1">
      <alignment horizontal="left" vertical="center" wrapText="1" indent="1"/>
    </xf>
    <xf numFmtId="0" fontId="16" fillId="0" borderId="61" xfId="0" applyFont="1" applyFill="1" applyBorder="1" applyAlignment="1">
      <alignment horizontal="left" vertical="center" wrapText="1" indent="1"/>
    </xf>
    <xf numFmtId="0" fontId="16" fillId="0" borderId="103" xfId="0" applyFont="1" applyFill="1" applyBorder="1" applyAlignment="1">
      <alignment horizontal="left" vertical="center" wrapText="1" indent="1"/>
    </xf>
    <xf numFmtId="0" fontId="16" fillId="0" borderId="39" xfId="0" applyFont="1" applyFill="1" applyBorder="1" applyAlignment="1">
      <alignment horizontal="left" vertical="center" wrapText="1" indent="1"/>
    </xf>
    <xf numFmtId="0" fontId="16" fillId="0" borderId="104" xfId="0" applyFont="1" applyFill="1" applyBorder="1" applyAlignment="1">
      <alignment horizontal="left" vertical="center" wrapText="1" indent="1"/>
    </xf>
    <xf numFmtId="0" fontId="16" fillId="0" borderId="46" xfId="0" applyFont="1" applyFill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5" fillId="0" borderId="39" xfId="0" applyFont="1" applyBorder="1" applyAlignment="1">
      <alignment horizontal="left" vertical="center" indent="1"/>
    </xf>
    <xf numFmtId="0" fontId="15" fillId="0" borderId="14" xfId="0" applyFont="1" applyBorder="1" applyAlignment="1">
      <alignment horizontal="left" vertical="center" indent="1"/>
    </xf>
    <xf numFmtId="0" fontId="15" fillId="0" borderId="96" xfId="0" applyFont="1" applyBorder="1" applyAlignment="1">
      <alignment horizontal="left" vertical="center" indent="1"/>
    </xf>
    <xf numFmtId="0" fontId="15" fillId="0" borderId="46" xfId="0" applyFont="1" applyBorder="1" applyAlignment="1">
      <alignment horizontal="left" vertical="center" indent="1"/>
    </xf>
    <xf numFmtId="0" fontId="19" fillId="35" borderId="16" xfId="0" applyFont="1" applyFill="1" applyBorder="1" applyAlignment="1">
      <alignment horizontal="center" vertical="center"/>
    </xf>
    <xf numFmtId="0" fontId="19" fillId="35" borderId="74" xfId="0" applyFont="1" applyFill="1" applyBorder="1" applyAlignment="1">
      <alignment horizontal="center" vertical="center"/>
    </xf>
    <xf numFmtId="0" fontId="15" fillId="33" borderId="11" xfId="0" applyFont="1" applyFill="1" applyBorder="1" applyAlignment="1">
      <alignment horizontal="center" vertical="center"/>
    </xf>
    <xf numFmtId="0" fontId="15" fillId="33" borderId="47" xfId="0" applyFont="1" applyFill="1" applyBorder="1" applyAlignment="1">
      <alignment horizontal="center" vertical="center"/>
    </xf>
    <xf numFmtId="0" fontId="71" fillId="0" borderId="62" xfId="0" applyFont="1" applyBorder="1" applyAlignment="1">
      <alignment horizontal="center" vertical="center" wrapText="1"/>
    </xf>
    <xf numFmtId="0" fontId="71" fillId="0" borderId="2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28" fillId="26" borderId="11" xfId="0" applyFont="1" applyFill="1" applyBorder="1" applyAlignment="1">
      <alignment horizontal="center" vertical="center" wrapText="1"/>
    </xf>
    <xf numFmtId="0" fontId="19" fillId="26" borderId="40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0" fillId="0" borderId="101" xfId="0" applyFont="1" applyBorder="1" applyAlignment="1">
      <alignment horizontal="center" vertical="center"/>
    </xf>
    <xf numFmtId="41" fontId="19" fillId="0" borderId="11" xfId="4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101" xfId="0" applyFont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 wrapText="1"/>
    </xf>
    <xf numFmtId="0" fontId="19" fillId="0" borderId="58" xfId="0" applyFont="1" applyFill="1" applyBorder="1" applyAlignment="1">
      <alignment horizontal="center" vertical="center" wrapText="1"/>
    </xf>
    <xf numFmtId="0" fontId="19" fillId="0" borderId="79" xfId="0" applyFont="1" applyFill="1" applyBorder="1" applyAlignment="1">
      <alignment vertical="center" wrapText="1"/>
    </xf>
    <xf numFmtId="0" fontId="19" fillId="0" borderId="45" xfId="0" applyFont="1" applyFill="1" applyBorder="1" applyAlignment="1">
      <alignment vertical="center" wrapText="1"/>
    </xf>
    <xf numFmtId="0" fontId="19" fillId="0" borderId="88" xfId="0" applyFont="1" applyFill="1" applyBorder="1" applyAlignment="1">
      <alignment vertical="center" wrapText="1"/>
    </xf>
    <xf numFmtId="0" fontId="19" fillId="0" borderId="58" xfId="0" applyFont="1" applyFill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71" fillId="0" borderId="11" xfId="0" applyFont="1" applyBorder="1" applyAlignment="1">
      <alignment horizontal="center" vertical="center"/>
    </xf>
    <xf numFmtId="0" fontId="71" fillId="0" borderId="47" xfId="0" applyFont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15" fillId="0" borderId="101" xfId="0" applyFont="1" applyBorder="1" applyAlignment="1">
      <alignment horizontal="center" vertical="center"/>
    </xf>
    <xf numFmtId="0" fontId="19" fillId="35" borderId="89" xfId="0" applyFont="1" applyFill="1" applyBorder="1" applyAlignment="1">
      <alignment horizontal="center" vertical="center"/>
    </xf>
    <xf numFmtId="0" fontId="19" fillId="35" borderId="90" xfId="0" applyFont="1" applyFill="1" applyBorder="1" applyAlignment="1">
      <alignment horizontal="center" vertical="center"/>
    </xf>
    <xf numFmtId="0" fontId="19" fillId="35" borderId="91" xfId="0" applyFont="1" applyFill="1" applyBorder="1" applyAlignment="1">
      <alignment horizontal="center" vertical="center"/>
    </xf>
    <xf numFmtId="0" fontId="19" fillId="35" borderId="82" xfId="0" applyFont="1" applyFill="1" applyBorder="1" applyAlignment="1">
      <alignment horizontal="center" vertical="center"/>
    </xf>
    <xf numFmtId="0" fontId="80" fillId="0" borderId="40" xfId="0" applyFont="1" applyBorder="1" applyAlignment="1">
      <alignment horizontal="center" vertical="center"/>
    </xf>
    <xf numFmtId="0" fontId="80" fillId="0" borderId="47" xfId="0" applyFont="1" applyBorder="1" applyAlignment="1">
      <alignment horizontal="center" vertical="center"/>
    </xf>
    <xf numFmtId="0" fontId="80" fillId="0" borderId="11" xfId="0" quotePrefix="1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wrapText="1" indent="1"/>
    </xf>
    <xf numFmtId="0" fontId="15" fillId="0" borderId="40" xfId="0" applyFont="1" applyBorder="1" applyAlignment="1">
      <alignment horizontal="left" vertical="center" wrapText="1" indent="1"/>
    </xf>
    <xf numFmtId="0" fontId="15" fillId="0" borderId="41" xfId="0" applyFont="1" applyBorder="1" applyAlignment="1">
      <alignment horizontal="left" vertical="center" wrapText="1" indent="1"/>
    </xf>
    <xf numFmtId="0" fontId="19" fillId="0" borderId="13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 wrapText="1"/>
    </xf>
    <xf numFmtId="0" fontId="0" fillId="0" borderId="72" xfId="0" applyFont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54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68" fillId="42" borderId="0" xfId="0" applyFont="1" applyFill="1" applyAlignment="1">
      <alignment vertical="center"/>
    </xf>
    <xf numFmtId="0" fontId="15" fillId="0" borderId="0" xfId="0" applyFont="1" applyAlignment="1">
      <alignment horizontal="left" vertical="center" wrapText="1"/>
    </xf>
    <xf numFmtId="178" fontId="15" fillId="25" borderId="96" xfId="29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9" fillId="35" borderId="97" xfId="0" applyFont="1" applyFill="1" applyBorder="1" applyAlignment="1">
      <alignment horizontal="center" vertical="center" wrapText="1"/>
    </xf>
    <xf numFmtId="0" fontId="19" fillId="35" borderId="98" xfId="0" applyFont="1" applyFill="1" applyBorder="1" applyAlignment="1">
      <alignment horizontal="center" vertical="center" wrapText="1"/>
    </xf>
    <xf numFmtId="0" fontId="19" fillId="35" borderId="99" xfId="0" applyFont="1" applyFill="1" applyBorder="1" applyAlignment="1">
      <alignment horizontal="center" vertical="center" wrapText="1"/>
    </xf>
    <xf numFmtId="0" fontId="19" fillId="35" borderId="97" xfId="0" applyFont="1" applyFill="1" applyBorder="1" applyAlignment="1">
      <alignment horizontal="center" vertical="center"/>
    </xf>
    <xf numFmtId="0" fontId="0" fillId="35" borderId="98" xfId="0" applyFill="1" applyBorder="1" applyAlignment="1">
      <alignment horizontal="center" vertical="center"/>
    </xf>
    <xf numFmtId="0" fontId="0" fillId="35" borderId="100" xfId="0" applyFill="1" applyBorder="1" applyAlignment="1">
      <alignment horizontal="center" vertical="center"/>
    </xf>
    <xf numFmtId="0" fontId="15" fillId="0" borderId="82" xfId="0" applyFont="1" applyBorder="1" applyAlignment="1">
      <alignment horizontal="left" vertical="center" wrapText="1" indent="1"/>
    </xf>
    <xf numFmtId="0" fontId="15" fillId="0" borderId="47" xfId="0" applyFont="1" applyBorder="1" applyAlignment="1">
      <alignment horizontal="left" vertical="center" wrapText="1" indent="1"/>
    </xf>
    <xf numFmtId="0" fontId="0" fillId="0" borderId="40" xfId="0" applyBorder="1" applyAlignment="1">
      <alignment horizontal="left" vertical="center" wrapText="1" indent="1"/>
    </xf>
    <xf numFmtId="0" fontId="0" fillId="0" borderId="41" xfId="0" applyBorder="1" applyAlignment="1">
      <alignment horizontal="left" vertical="center" wrapText="1" indent="1"/>
    </xf>
    <xf numFmtId="0" fontId="15" fillId="0" borderId="13" xfId="0" applyFont="1" applyBorder="1" applyAlignment="1">
      <alignment horizontal="left" vertical="center" wrapText="1" indent="1"/>
    </xf>
    <xf numFmtId="0" fontId="15" fillId="0" borderId="69" xfId="0" applyFont="1" applyBorder="1" applyAlignment="1">
      <alignment horizontal="left" vertical="center" wrapText="1" indent="1"/>
    </xf>
    <xf numFmtId="0" fontId="15" fillId="0" borderId="70" xfId="0" applyFont="1" applyBorder="1" applyAlignment="1">
      <alignment horizontal="left" vertical="center" wrapText="1" indent="1"/>
    </xf>
    <xf numFmtId="0" fontId="0" fillId="0" borderId="69" xfId="0" applyBorder="1" applyAlignment="1">
      <alignment horizontal="left" vertical="center" wrapText="1" indent="1"/>
    </xf>
    <xf numFmtId="0" fontId="0" fillId="0" borderId="81" xfId="0" applyBorder="1" applyAlignment="1">
      <alignment horizontal="left" vertical="center" wrapText="1" indent="1"/>
    </xf>
    <xf numFmtId="0" fontId="12" fillId="0" borderId="0" xfId="0" applyFont="1" applyFill="1" applyAlignment="1">
      <alignment horizontal="left" vertical="center"/>
    </xf>
    <xf numFmtId="0" fontId="15" fillId="25" borderId="96" xfId="0" applyFont="1" applyFill="1" applyBorder="1" applyAlignment="1">
      <alignment horizontal="center" vertical="center"/>
    </xf>
    <xf numFmtId="0" fontId="17" fillId="0" borderId="79" xfId="0" applyFont="1" applyFill="1" applyBorder="1" applyAlignment="1">
      <alignment horizontal="center" vertical="center" wrapText="1"/>
    </xf>
    <xf numFmtId="0" fontId="17" fillId="0" borderId="80" xfId="0" applyFont="1" applyFill="1" applyBorder="1" applyAlignment="1">
      <alignment horizontal="center" vertical="center" wrapText="1"/>
    </xf>
    <xf numFmtId="0" fontId="17" fillId="0" borderId="87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88" xfId="0" applyFont="1" applyFill="1" applyBorder="1" applyAlignment="1">
      <alignment horizontal="center" vertical="center" wrapText="1"/>
    </xf>
    <xf numFmtId="0" fontId="17" fillId="0" borderId="96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47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 indent="1"/>
    </xf>
    <xf numFmtId="0" fontId="16" fillId="0" borderId="40" xfId="0" applyFont="1" applyBorder="1" applyAlignment="1">
      <alignment horizontal="left" vertical="center" indent="1"/>
    </xf>
    <xf numFmtId="0" fontId="16" fillId="0" borderId="41" xfId="0" applyFont="1" applyBorder="1" applyAlignment="1">
      <alignment horizontal="left" vertical="center" indent="1"/>
    </xf>
    <xf numFmtId="178" fontId="16" fillId="25" borderId="13" xfId="29" applyNumberFormat="1" applyFont="1" applyFill="1" applyBorder="1" applyAlignment="1">
      <alignment horizontal="center" vertical="center"/>
    </xf>
    <xf numFmtId="178" fontId="16" fillId="25" borderId="69" xfId="29" applyNumberFormat="1" applyFont="1" applyFill="1" applyBorder="1" applyAlignment="1">
      <alignment horizontal="center" vertical="center"/>
    </xf>
    <xf numFmtId="178" fontId="16" fillId="25" borderId="70" xfId="29" applyNumberFormat="1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 wrapText="1"/>
    </xf>
    <xf numFmtId="0" fontId="15" fillId="26" borderId="11" xfId="0" applyFont="1" applyFill="1" applyBorder="1" applyAlignment="1">
      <alignment horizontal="center" vertical="center"/>
    </xf>
    <xf numFmtId="0" fontId="15" fillId="26" borderId="40" xfId="0" applyFont="1" applyFill="1" applyBorder="1" applyAlignment="1">
      <alignment horizontal="center" vertical="center"/>
    </xf>
    <xf numFmtId="0" fontId="15" fillId="33" borderId="40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left" vertical="center" wrapText="1" indent="1"/>
    </xf>
    <xf numFmtId="0" fontId="16" fillId="0" borderId="15" xfId="0" applyFont="1" applyBorder="1" applyAlignment="1">
      <alignment horizontal="left" vertical="center" indent="1"/>
    </xf>
    <xf numFmtId="0" fontId="16" fillId="0" borderId="75" xfId="0" applyFont="1" applyBorder="1" applyAlignment="1">
      <alignment horizontal="left" vertical="center" indent="1"/>
    </xf>
    <xf numFmtId="0" fontId="16" fillId="0" borderId="40" xfId="0" applyFont="1" applyBorder="1" applyAlignment="1">
      <alignment horizontal="left" vertical="center" wrapText="1" indent="1"/>
    </xf>
    <xf numFmtId="0" fontId="16" fillId="0" borderId="41" xfId="0" applyFont="1" applyBorder="1" applyAlignment="1">
      <alignment horizontal="left" vertical="center" wrapText="1" indent="1"/>
    </xf>
    <xf numFmtId="0" fontId="19" fillId="0" borderId="62" xfId="0" quotePrefix="1" applyFont="1" applyFill="1" applyBorder="1" applyAlignment="1">
      <alignment horizontal="center" vertical="center"/>
    </xf>
    <xf numFmtId="0" fontId="15" fillId="26" borderId="10" xfId="0" applyFont="1" applyFill="1" applyBorder="1" applyAlignment="1">
      <alignment horizontal="center" vertical="center"/>
    </xf>
    <xf numFmtId="0" fontId="15" fillId="26" borderId="8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 indent="1"/>
    </xf>
    <xf numFmtId="0" fontId="16" fillId="0" borderId="80" xfId="0" applyFont="1" applyBorder="1" applyAlignment="1">
      <alignment horizontal="left" vertical="center" indent="1"/>
    </xf>
    <xf numFmtId="0" fontId="16" fillId="0" borderId="61" xfId="0" applyFont="1" applyBorder="1" applyAlignment="1">
      <alignment horizontal="left" vertical="center" indent="1"/>
    </xf>
    <xf numFmtId="0" fontId="16" fillId="0" borderId="12" xfId="0" applyFont="1" applyBorder="1" applyAlignment="1">
      <alignment horizontal="left" vertical="center" indent="1"/>
    </xf>
    <xf numFmtId="0" fontId="16" fillId="0" borderId="37" xfId="0" applyFont="1" applyBorder="1" applyAlignment="1">
      <alignment horizontal="left" vertical="center" indent="1"/>
    </xf>
    <xf numFmtId="0" fontId="16" fillId="0" borderId="38" xfId="0" applyFont="1" applyBorder="1" applyAlignment="1">
      <alignment horizontal="left" vertical="center" indent="1"/>
    </xf>
    <xf numFmtId="0" fontId="19" fillId="0" borderId="94" xfId="0" quotePrefix="1" applyFont="1" applyFill="1" applyBorder="1" applyAlignment="1">
      <alignment horizontal="center" vertical="center"/>
    </xf>
    <xf numFmtId="0" fontId="15" fillId="26" borderId="36" xfId="0" applyFont="1" applyFill="1" applyBorder="1" applyAlignment="1">
      <alignment horizontal="center" vertical="center"/>
    </xf>
    <xf numFmtId="0" fontId="15" fillId="26" borderId="95" xfId="0" applyFont="1" applyFill="1" applyBorder="1" applyAlignment="1">
      <alignment horizontal="center" vertical="center"/>
    </xf>
    <xf numFmtId="0" fontId="15" fillId="26" borderId="72" xfId="0" applyFont="1" applyFill="1" applyBorder="1" applyAlignment="1">
      <alignment horizontal="center" vertical="center"/>
    </xf>
    <xf numFmtId="0" fontId="19" fillId="0" borderId="93" xfId="0" applyFont="1" applyFill="1" applyBorder="1" applyAlignment="1">
      <alignment horizontal="center" vertical="center"/>
    </xf>
    <xf numFmtId="0" fontId="19" fillId="0" borderId="40" xfId="0" applyFont="1" applyFill="1" applyBorder="1" applyAlignment="1">
      <alignment horizontal="center" vertical="center"/>
    </xf>
    <xf numFmtId="0" fontId="19" fillId="35" borderId="73" xfId="0" applyFont="1" applyFill="1" applyBorder="1" applyAlignment="1">
      <alignment horizontal="center" vertical="center"/>
    </xf>
    <xf numFmtId="0" fontId="19" fillId="35" borderId="77" xfId="0" applyFont="1" applyFill="1" applyBorder="1" applyAlignment="1">
      <alignment horizontal="center" vertical="center"/>
    </xf>
    <xf numFmtId="189" fontId="15" fillId="33" borderId="11" xfId="0" applyNumberFormat="1" applyFont="1" applyFill="1" applyBorder="1" applyAlignment="1">
      <alignment horizontal="center" vertical="center"/>
    </xf>
    <xf numFmtId="189" fontId="15" fillId="33" borderId="40" xfId="0" applyNumberFormat="1" applyFont="1" applyFill="1" applyBorder="1" applyAlignment="1">
      <alignment horizontal="center" vertical="center"/>
    </xf>
    <xf numFmtId="14" fontId="15" fillId="0" borderId="11" xfId="0" applyNumberFormat="1" applyFont="1" applyFill="1" applyBorder="1" applyAlignment="1">
      <alignment horizontal="center" vertical="center"/>
    </xf>
    <xf numFmtId="14" fontId="15" fillId="0" borderId="47" xfId="0" applyNumberFormat="1" applyFont="1" applyFill="1" applyBorder="1" applyAlignment="1">
      <alignment horizontal="center" vertical="center"/>
    </xf>
    <xf numFmtId="14" fontId="19" fillId="0" borderId="13" xfId="0" applyNumberFormat="1" applyFont="1" applyFill="1" applyBorder="1" applyAlignment="1">
      <alignment horizontal="center" vertical="center"/>
    </xf>
    <xf numFmtId="14" fontId="19" fillId="0" borderId="70" xfId="0" applyNumberFormat="1" applyFont="1" applyFill="1" applyBorder="1" applyAlignment="1">
      <alignment horizontal="center" vertical="center"/>
    </xf>
    <xf numFmtId="0" fontId="69" fillId="0" borderId="11" xfId="0" applyFont="1" applyBorder="1" applyAlignment="1">
      <alignment horizontal="center" vertical="center"/>
    </xf>
    <xf numFmtId="0" fontId="69" fillId="0" borderId="47" xfId="0" applyFont="1" applyBorder="1" applyAlignment="1">
      <alignment horizontal="center" vertical="center"/>
    </xf>
    <xf numFmtId="14" fontId="19" fillId="0" borderId="11" xfId="0" applyNumberFormat="1" applyFont="1" applyFill="1" applyBorder="1" applyAlignment="1">
      <alignment horizontal="center" vertical="center"/>
    </xf>
    <xf numFmtId="14" fontId="19" fillId="0" borderId="47" xfId="0" applyNumberFormat="1" applyFont="1" applyFill="1" applyBorder="1" applyAlignment="1">
      <alignment horizontal="center" vertical="center"/>
    </xf>
    <xf numFmtId="0" fontId="19" fillId="28" borderId="87" xfId="0" applyFont="1" applyFill="1" applyBorder="1" applyAlignment="1">
      <alignment horizontal="center" vertical="center" wrapText="1"/>
    </xf>
    <xf numFmtId="0" fontId="19" fillId="28" borderId="30" xfId="0" applyFont="1" applyFill="1" applyBorder="1" applyAlignment="1">
      <alignment horizontal="center" vertical="center"/>
    </xf>
    <xf numFmtId="0" fontId="19" fillId="28" borderId="87" xfId="0" applyFont="1" applyFill="1" applyBorder="1" applyAlignment="1">
      <alignment horizontal="center" vertical="center"/>
    </xf>
    <xf numFmtId="0" fontId="19" fillId="28" borderId="88" xfId="0" applyFont="1" applyFill="1" applyBorder="1" applyAlignment="1">
      <alignment horizontal="center" vertical="center"/>
    </xf>
    <xf numFmtId="0" fontId="19" fillId="28" borderId="58" xfId="0" applyFont="1" applyFill="1" applyBorder="1" applyAlignment="1">
      <alignment horizontal="center" vertical="center"/>
    </xf>
    <xf numFmtId="14" fontId="15" fillId="0" borderId="12" xfId="0" applyNumberFormat="1" applyFont="1" applyFill="1" applyBorder="1" applyAlignment="1">
      <alignment horizontal="center" vertical="center"/>
    </xf>
    <xf numFmtId="14" fontId="15" fillId="0" borderId="82" xfId="0" applyNumberFormat="1" applyFont="1" applyFill="1" applyBorder="1" applyAlignment="1">
      <alignment horizontal="center" vertical="center"/>
    </xf>
    <xf numFmtId="0" fontId="19" fillId="28" borderId="89" xfId="0" applyFont="1" applyFill="1" applyBorder="1" applyAlignment="1">
      <alignment horizontal="center" vertical="center" wrapText="1"/>
    </xf>
    <xf numFmtId="0" fontId="19" fillId="28" borderId="90" xfId="0" applyFont="1" applyFill="1" applyBorder="1" applyAlignment="1">
      <alignment horizontal="center" vertical="center"/>
    </xf>
    <xf numFmtId="0" fontId="19" fillId="28" borderId="91" xfId="0" applyFont="1" applyFill="1" applyBorder="1" applyAlignment="1">
      <alignment horizontal="center" vertical="center"/>
    </xf>
    <xf numFmtId="0" fontId="19" fillId="28" borderId="82" xfId="0" applyFont="1" applyFill="1" applyBorder="1" applyAlignment="1">
      <alignment horizontal="center" vertical="center"/>
    </xf>
    <xf numFmtId="14" fontId="15" fillId="0" borderId="76" xfId="0" applyNumberFormat="1" applyFont="1" applyFill="1" applyBorder="1" applyAlignment="1">
      <alignment horizontal="center" vertical="center"/>
    </xf>
    <xf numFmtId="14" fontId="15" fillId="0" borderId="92" xfId="0" applyNumberFormat="1" applyFont="1" applyFill="1" applyBorder="1" applyAlignment="1">
      <alignment horizontal="center" vertical="center"/>
    </xf>
    <xf numFmtId="0" fontId="19" fillId="0" borderId="59" xfId="0" applyFont="1" applyFill="1" applyBorder="1" applyAlignment="1">
      <alignment horizontal="center" vertical="center" wrapText="1"/>
    </xf>
    <xf numFmtId="0" fontId="19" fillId="0" borderId="60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19" fillId="0" borderId="62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41" fontId="11" fillId="0" borderId="10" xfId="4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41" fontId="11" fillId="0" borderId="35" xfId="40" applyFont="1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41" fontId="11" fillId="0" borderId="12" xfId="40" applyFont="1" applyFill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68" fillId="0" borderId="10" xfId="0" applyFont="1" applyBorder="1" applyAlignment="1">
      <alignment horizontal="center" vertical="center"/>
    </xf>
    <xf numFmtId="0" fontId="68" fillId="0" borderId="45" xfId="0" applyFont="1" applyBorder="1" applyAlignment="1">
      <alignment horizontal="center" vertical="center"/>
    </xf>
    <xf numFmtId="0" fontId="68" fillId="0" borderId="85" xfId="0" applyFont="1" applyBorder="1" applyAlignment="1">
      <alignment horizontal="center" vertical="center"/>
    </xf>
    <xf numFmtId="0" fontId="68" fillId="0" borderId="86" xfId="0" applyFont="1" applyBorder="1" applyAlignment="1">
      <alignment horizontal="center" vertical="center"/>
    </xf>
    <xf numFmtId="41" fontId="19" fillId="0" borderId="12" xfId="4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70" fillId="0" borderId="10" xfId="0" applyFont="1" applyBorder="1" applyAlignment="1">
      <alignment horizontal="center" vertical="center" wrapText="1"/>
    </xf>
    <xf numFmtId="0" fontId="70" fillId="0" borderId="61" xfId="0" applyFont="1" applyBorder="1" applyAlignment="1">
      <alignment horizontal="center" vertical="center" wrapText="1"/>
    </xf>
    <xf numFmtId="0" fontId="70" fillId="0" borderId="22" xfId="0" applyFont="1" applyBorder="1" applyAlignment="1">
      <alignment horizontal="center" vertical="center" wrapText="1"/>
    </xf>
    <xf numFmtId="0" fontId="70" fillId="0" borderId="39" xfId="0" applyFont="1" applyBorder="1" applyAlignment="1">
      <alignment horizontal="center" vertical="center" wrapText="1"/>
    </xf>
    <xf numFmtId="0" fontId="70" fillId="0" borderId="14" xfId="0" applyFont="1" applyBorder="1" applyAlignment="1">
      <alignment horizontal="center" vertical="center" wrapText="1"/>
    </xf>
    <xf numFmtId="0" fontId="70" fillId="0" borderId="46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0" fontId="15" fillId="0" borderId="8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left" vertical="center" wrapText="1" indent="1"/>
    </xf>
    <xf numFmtId="0" fontId="15" fillId="0" borderId="71" xfId="0" applyFont="1" applyBorder="1" applyAlignment="1">
      <alignment horizontal="left" vertical="center" indent="1"/>
    </xf>
    <xf numFmtId="0" fontId="15" fillId="0" borderId="84" xfId="0" applyFont="1" applyBorder="1" applyAlignment="1">
      <alignment horizontal="left" vertical="center" indent="1"/>
    </xf>
    <xf numFmtId="0" fontId="15" fillId="0" borderId="12" xfId="0" applyFont="1" applyBorder="1" applyAlignment="1">
      <alignment horizontal="left" vertical="center" indent="1"/>
    </xf>
    <xf numFmtId="0" fontId="15" fillId="0" borderId="37" xfId="0" applyFont="1" applyBorder="1" applyAlignment="1">
      <alignment horizontal="left" vertical="center" indent="1"/>
    </xf>
    <xf numFmtId="0" fontId="15" fillId="0" borderId="38" xfId="0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0" fontId="15" fillId="0" borderId="40" xfId="0" applyFont="1" applyBorder="1" applyAlignment="1">
      <alignment horizontal="left" vertical="center" indent="1"/>
    </xf>
    <xf numFmtId="0" fontId="15" fillId="0" borderId="41" xfId="0" applyFont="1" applyBorder="1" applyAlignment="1">
      <alignment horizontal="left" vertical="center" indent="1"/>
    </xf>
    <xf numFmtId="0" fontId="19" fillId="0" borderId="60" xfId="0" applyFont="1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19" fillId="35" borderId="59" xfId="0" applyFont="1" applyFill="1" applyBorder="1" applyAlignment="1">
      <alignment horizontal="center" vertical="center"/>
    </xf>
    <xf numFmtId="0" fontId="19" fillId="35" borderId="62" xfId="0" applyFont="1" applyFill="1" applyBorder="1" applyAlignment="1">
      <alignment horizontal="center" vertical="center"/>
    </xf>
    <xf numFmtId="0" fontId="61" fillId="35" borderId="62" xfId="66" applyFill="1" applyBorder="1" applyAlignment="1" applyProtection="1">
      <alignment horizontal="left" vertical="center" indent="2"/>
    </xf>
    <xf numFmtId="0" fontId="16" fillId="35" borderId="62" xfId="0" applyFont="1" applyFill="1" applyBorder="1" applyAlignment="1">
      <alignment horizontal="left" vertical="center" indent="2"/>
    </xf>
    <xf numFmtId="0" fontId="16" fillId="35" borderId="78" xfId="0" applyFont="1" applyFill="1" applyBorder="1" applyAlignment="1">
      <alignment horizontal="left" vertical="center" indent="2"/>
    </xf>
    <xf numFmtId="0" fontId="19" fillId="0" borderId="79" xfId="0" applyFont="1" applyFill="1" applyBorder="1" applyAlignment="1">
      <alignment horizontal="center" vertical="center"/>
    </xf>
    <xf numFmtId="0" fontId="19" fillId="0" borderId="80" xfId="0" applyFont="1" applyFill="1" applyBorder="1" applyAlignment="1">
      <alignment horizontal="center" vertical="center"/>
    </xf>
    <xf numFmtId="0" fontId="16" fillId="0" borderId="10" xfId="66" applyFont="1" applyFill="1" applyBorder="1" applyAlignment="1" applyProtection="1">
      <alignment horizontal="left" vertical="center" indent="2"/>
    </xf>
    <xf numFmtId="0" fontId="16" fillId="0" borderId="80" xfId="0" applyFont="1" applyFill="1" applyBorder="1" applyAlignment="1">
      <alignment horizontal="left" vertical="center" indent="2"/>
    </xf>
    <xf numFmtId="0" fontId="16" fillId="0" borderId="61" xfId="0" applyFont="1" applyFill="1" applyBorder="1" applyAlignment="1">
      <alignment horizontal="left" vertical="center" indent="2"/>
    </xf>
    <xf numFmtId="0" fontId="19" fillId="35" borderId="68" xfId="0" applyFont="1" applyFill="1" applyBorder="1" applyAlignment="1">
      <alignment horizontal="center" vertical="center"/>
    </xf>
    <xf numFmtId="0" fontId="19" fillId="35" borderId="69" xfId="0" applyFont="1" applyFill="1" applyBorder="1" applyAlignment="1">
      <alignment horizontal="center" vertical="center"/>
    </xf>
    <xf numFmtId="0" fontId="16" fillId="35" borderId="13" xfId="66" applyFont="1" applyFill="1" applyBorder="1" applyAlignment="1" applyProtection="1">
      <alignment horizontal="left" vertical="center" indent="2"/>
    </xf>
    <xf numFmtId="0" fontId="16" fillId="35" borderId="69" xfId="0" applyFont="1" applyFill="1" applyBorder="1" applyAlignment="1">
      <alignment horizontal="left" vertical="center" indent="2"/>
    </xf>
    <xf numFmtId="0" fontId="16" fillId="35" borderId="81" xfId="0" applyFont="1" applyFill="1" applyBorder="1" applyAlignment="1">
      <alignment horizontal="left" vertical="center" indent="2"/>
    </xf>
    <xf numFmtId="0" fontId="19" fillId="0" borderId="4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0" borderId="73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left" vertical="center" indent="2"/>
    </xf>
    <xf numFmtId="0" fontId="15" fillId="0" borderId="74" xfId="0" applyFont="1" applyFill="1" applyBorder="1" applyAlignment="1">
      <alignment horizontal="left" vertical="center" indent="2"/>
    </xf>
    <xf numFmtId="0" fontId="19" fillId="35" borderId="19" xfId="0" applyFont="1" applyFill="1" applyBorder="1" applyAlignment="1">
      <alignment horizontal="center" vertical="center"/>
    </xf>
    <xf numFmtId="0" fontId="19" fillId="35" borderId="15" xfId="0" applyFont="1" applyFill="1" applyBorder="1" applyAlignment="1">
      <alignment horizontal="center" vertical="center"/>
    </xf>
    <xf numFmtId="0" fontId="15" fillId="35" borderId="15" xfId="0" applyFont="1" applyFill="1" applyBorder="1" applyAlignment="1">
      <alignment horizontal="left" vertical="center" indent="2"/>
    </xf>
    <xf numFmtId="0" fontId="15" fillId="35" borderId="75" xfId="0" applyFont="1" applyFill="1" applyBorder="1" applyAlignment="1">
      <alignment horizontal="left" vertical="center" indent="2"/>
    </xf>
    <xf numFmtId="0" fontId="15" fillId="0" borderId="15" xfId="0" applyFont="1" applyFill="1" applyBorder="1" applyAlignment="1">
      <alignment horizontal="left" vertical="center" indent="2"/>
    </xf>
    <xf numFmtId="0" fontId="15" fillId="0" borderId="75" xfId="0" applyFont="1" applyFill="1" applyBorder="1" applyAlignment="1">
      <alignment horizontal="left" vertical="center" indent="2"/>
    </xf>
    <xf numFmtId="0" fontId="15" fillId="0" borderId="10" xfId="0" applyFont="1" applyFill="1" applyBorder="1" applyAlignment="1">
      <alignment horizontal="center" vertical="center" wrapText="1"/>
    </xf>
    <xf numFmtId="0" fontId="0" fillId="0" borderId="45" xfId="0" applyFont="1" applyBorder="1" applyAlignment="1">
      <alignment horizontal="center" vertical="center" wrapText="1"/>
    </xf>
    <xf numFmtId="0" fontId="19" fillId="0" borderId="68" xfId="0" applyFont="1" applyFill="1" applyBorder="1" applyAlignment="1">
      <alignment horizontal="center" vertical="center" wrapText="1"/>
    </xf>
    <xf numFmtId="0" fontId="19" fillId="0" borderId="69" xfId="0" applyFont="1" applyFill="1" applyBorder="1" applyAlignment="1">
      <alignment horizontal="center" vertical="center" wrapText="1"/>
    </xf>
    <xf numFmtId="0" fontId="19" fillId="0" borderId="70" xfId="0" applyFont="1" applyFill="1" applyBorder="1" applyAlignment="1">
      <alignment horizontal="center" vertical="center" wrapText="1"/>
    </xf>
    <xf numFmtId="0" fontId="19" fillId="35" borderId="34" xfId="0" applyFont="1" applyFill="1" applyBorder="1" applyAlignment="1">
      <alignment horizontal="center" vertical="center"/>
    </xf>
    <xf numFmtId="0" fontId="19" fillId="35" borderId="71" xfId="0" applyFont="1" applyFill="1" applyBorder="1" applyAlignment="1">
      <alignment horizontal="center" vertical="center"/>
    </xf>
    <xf numFmtId="0" fontId="19" fillId="0" borderId="48" xfId="0" applyFont="1" applyFill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19" fillId="0" borderId="49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/>
    </xf>
    <xf numFmtId="0" fontId="16" fillId="29" borderId="62" xfId="0" applyFont="1" applyFill="1" applyBorder="1" applyAlignment="1">
      <alignment horizontal="center" vertical="center" wrapText="1"/>
    </xf>
    <xf numFmtId="0" fontId="16" fillId="29" borderId="23" xfId="0" applyFont="1" applyFill="1" applyBorder="1" applyAlignment="1">
      <alignment horizontal="center" vertical="center" wrapText="1"/>
    </xf>
    <xf numFmtId="0" fontId="16" fillId="29" borderId="17" xfId="0" applyFont="1" applyFill="1" applyBorder="1" applyAlignment="1">
      <alignment horizontal="center" vertical="center" wrapText="1"/>
    </xf>
    <xf numFmtId="0" fontId="16" fillId="29" borderId="33" xfId="0" applyFont="1" applyFill="1" applyBorder="1" applyAlignment="1">
      <alignment horizontal="center" vertical="center"/>
    </xf>
    <xf numFmtId="0" fontId="16" fillId="29" borderId="106" xfId="0" applyFont="1" applyFill="1" applyBorder="1" applyAlignment="1">
      <alignment horizontal="center" vertical="center"/>
    </xf>
  </cellXfs>
  <cellStyles count="67">
    <cellStyle name="20% - 강조색1 2" xfId="1"/>
    <cellStyle name="20% - 강조색2 2" xfId="2"/>
    <cellStyle name="20% - 강조색3 2" xfId="3"/>
    <cellStyle name="20% - 강조색4 2" xfId="4"/>
    <cellStyle name="20% - 강조색5 2" xfId="5"/>
    <cellStyle name="20% - 강조색6 2" xfId="6"/>
    <cellStyle name="40% - 강조색1 2" xfId="7"/>
    <cellStyle name="40% - 강조색2 2" xfId="8"/>
    <cellStyle name="40% - 강조색3 2" xfId="9"/>
    <cellStyle name="40% - 강조색4 2" xfId="10"/>
    <cellStyle name="40% - 강조색5 2" xfId="11"/>
    <cellStyle name="40% - 강조색6 2" xfId="12"/>
    <cellStyle name="60% - 강조색1 2" xfId="13"/>
    <cellStyle name="60% - 강조색2 2" xfId="14"/>
    <cellStyle name="60% - 강조색3 2" xfId="15"/>
    <cellStyle name="60% - 강조색4 2" xfId="16"/>
    <cellStyle name="60% - 강조색5 2" xfId="17"/>
    <cellStyle name="60% - 강조색6 2" xfId="18"/>
    <cellStyle name="강조색1 2" xfId="19"/>
    <cellStyle name="강조색2 2" xfId="20"/>
    <cellStyle name="강조색3 2" xfId="21"/>
    <cellStyle name="강조색4 2" xfId="22"/>
    <cellStyle name="강조색5 2" xfId="23"/>
    <cellStyle name="강조색6 2" xfId="24"/>
    <cellStyle name="경고문 2" xfId="25"/>
    <cellStyle name="계산 2" xfId="26"/>
    <cellStyle name="나쁨 2" xfId="27"/>
    <cellStyle name="메모 2" xfId="28"/>
    <cellStyle name="백분율 2" xfId="29"/>
    <cellStyle name="보통 2" xfId="30"/>
    <cellStyle name="설명 텍스트 2" xfId="31"/>
    <cellStyle name="셀 확인 2" xfId="32"/>
    <cellStyle name="쉼표 [0]" xfId="33" builtinId="6"/>
    <cellStyle name="쉼표 [0] 2" xfId="34"/>
    <cellStyle name="쉼표 [0] 2 2" xfId="35"/>
    <cellStyle name="쉼표 [0] 2 2 2" xfId="36"/>
    <cellStyle name="쉼표 [0] 2 3" xfId="37"/>
    <cellStyle name="쉼표 [0] 3" xfId="38"/>
    <cellStyle name="쉼표 [0] 3 2" xfId="39"/>
    <cellStyle name="쉼표 [0] 4" xfId="40"/>
    <cellStyle name="쉼표 [0] 4 2" xfId="41"/>
    <cellStyle name="쉼표 [0] 4 2 2" xfId="42"/>
    <cellStyle name="쉼표 [0] 4 3" xfId="43"/>
    <cellStyle name="쉼표 [0] 4 3 2" xfId="44"/>
    <cellStyle name="쉼표 [0] 4 4" xfId="45"/>
    <cellStyle name="쉼표 [0] 5" xfId="46"/>
    <cellStyle name="쉼표 [0] 5 2" xfId="47"/>
    <cellStyle name="쉼표 [0] 6" xfId="48"/>
    <cellStyle name="쉼표 [0] 6 2" xfId="49"/>
    <cellStyle name="쉼표 [0] 7" xfId="50"/>
    <cellStyle name="스타일 1" xfId="51"/>
    <cellStyle name="연결된 셀 2" xfId="52"/>
    <cellStyle name="요약 2" xfId="53"/>
    <cellStyle name="입력 2" xfId="54"/>
    <cellStyle name="제목 1 2" xfId="55"/>
    <cellStyle name="제목 2 2" xfId="56"/>
    <cellStyle name="제목 3 2" xfId="57"/>
    <cellStyle name="제목 4 2" xfId="58"/>
    <cellStyle name="제목 5" xfId="59"/>
    <cellStyle name="좋음 2" xfId="60"/>
    <cellStyle name="출력 2" xfId="61"/>
    <cellStyle name="표준" xfId="0" builtinId="0"/>
    <cellStyle name="표준 2" xfId="62"/>
    <cellStyle name="표준 3" xfId="63"/>
    <cellStyle name="표준 38" xfId="64"/>
    <cellStyle name="표준 4 2" xfId="65"/>
    <cellStyle name="하이퍼링크" xfId="66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202248</xdr:colOff>
      <xdr:row>9</xdr:row>
      <xdr:rowOff>65723</xdr:rowOff>
    </xdr:from>
    <xdr:to>
      <xdr:col>4</xdr:col>
      <xdr:colOff>1399</xdr:colOff>
      <xdr:row>9</xdr:row>
      <xdr:rowOff>214415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FA4CD6F-AF43-4CA6-A575-5726DD4E31D3}"/>
            </a:ext>
          </a:extLst>
        </xdr:cNvPr>
        <xdr:cNvSpPr/>
      </xdr:nvSpPr>
      <xdr:spPr>
        <a:xfrm>
          <a:off x="2085975" y="1847850"/>
          <a:ext cx="333375" cy="114300"/>
        </a:xfrm>
        <a:prstGeom prst="rect">
          <a:avLst/>
        </a:prstGeom>
        <a:solidFill>
          <a:srgbClr val="FFFF99"/>
        </a:solidFill>
        <a:ln w="6350"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91440</xdr:colOff>
      <xdr:row>9</xdr:row>
      <xdr:rowOff>68580</xdr:rowOff>
    </xdr:from>
    <xdr:to>
      <xdr:col>4</xdr:col>
      <xdr:colOff>487680</xdr:colOff>
      <xdr:row>9</xdr:row>
      <xdr:rowOff>213360</xdr:rowOff>
    </xdr:to>
    <xdr:sp macro="" textlink="">
      <xdr:nvSpPr>
        <xdr:cNvPr id="26806" name="직사각형 1">
          <a:extLst>
            <a:ext uri="{FF2B5EF4-FFF2-40B4-BE49-F238E27FC236}">
              <a16:creationId xmlns:a16="http://schemas.microsoft.com/office/drawing/2014/main" id="{B31DBF1A-0836-4D49-B75A-2D4170CDC869}"/>
            </a:ext>
          </a:extLst>
        </xdr:cNvPr>
        <xdr:cNvSpPr>
          <a:spLocks noChangeArrowheads="1"/>
        </xdr:cNvSpPr>
      </xdr:nvSpPr>
      <xdr:spPr bwMode="auto">
        <a:xfrm>
          <a:off x="2628900" y="1821180"/>
          <a:ext cx="396240" cy="144780"/>
        </a:xfrm>
        <a:prstGeom prst="rect">
          <a:avLst/>
        </a:prstGeom>
        <a:solidFill>
          <a:srgbClr val="CCFFFF"/>
        </a:solidFill>
        <a:ln w="6350" algn="ctr">
          <a:solidFill>
            <a:srgbClr val="385D8A"/>
          </a:solidFill>
          <a:prstDash val="sysDot"/>
          <a:miter lim="800000"/>
          <a:headEnd/>
          <a:tailEnd/>
        </a:ln>
      </xdr:spPr>
    </xdr:sp>
    <xdr:clientData/>
  </xdr:twoCellAnchor>
  <xdr:twoCellAnchor>
    <xdr:from>
      <xdr:col>7</xdr:col>
      <xdr:colOff>980123</xdr:colOff>
      <xdr:row>21</xdr:row>
      <xdr:rowOff>60960</xdr:rowOff>
    </xdr:from>
    <xdr:to>
      <xdr:col>9</xdr:col>
      <xdr:colOff>296582</xdr:colOff>
      <xdr:row>54</xdr:row>
      <xdr:rowOff>6165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4BCD6DDB-0F70-4BAE-9299-45748725BA60}"/>
            </a:ext>
          </a:extLst>
        </xdr:cNvPr>
        <xdr:cNvSpPr/>
      </xdr:nvSpPr>
      <xdr:spPr>
        <a:xfrm>
          <a:off x="6153150" y="3914775"/>
          <a:ext cx="1571625" cy="75152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1006158</xdr:colOff>
      <xdr:row>54</xdr:row>
      <xdr:rowOff>152400</xdr:rowOff>
    </xdr:from>
    <xdr:to>
      <xdr:col>9</xdr:col>
      <xdr:colOff>215640</xdr:colOff>
      <xdr:row>102</xdr:row>
      <xdr:rowOff>19074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A5685016-BFBB-49A1-9A1B-6C06423F8607}"/>
            </a:ext>
          </a:extLst>
        </xdr:cNvPr>
        <xdr:cNvSpPr/>
      </xdr:nvSpPr>
      <xdr:spPr>
        <a:xfrm>
          <a:off x="6229350" y="11563350"/>
          <a:ext cx="1438275" cy="42100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0</xdr:col>
      <xdr:colOff>0</xdr:colOff>
      <xdr:row>99</xdr:row>
      <xdr:rowOff>72708</xdr:rowOff>
    </xdr:from>
    <xdr:to>
      <xdr:col>10</xdr:col>
      <xdr:colOff>434579</xdr:colOff>
      <xdr:row>127</xdr:row>
      <xdr:rowOff>209865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F555A739-824B-45FB-A1E6-F23F3743F8B6}"/>
            </a:ext>
          </a:extLst>
        </xdr:cNvPr>
        <xdr:cNvSpPr/>
      </xdr:nvSpPr>
      <xdr:spPr>
        <a:xfrm>
          <a:off x="0" y="20386301"/>
          <a:ext cx="8841441" cy="819822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20003</xdr:colOff>
      <xdr:row>9</xdr:row>
      <xdr:rowOff>213045</xdr:rowOff>
    </xdr:from>
    <xdr:to>
      <xdr:col>5</xdr:col>
      <xdr:colOff>450407</xdr:colOff>
      <xdr:row>18</xdr:row>
      <xdr:rowOff>5848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444748EE-E388-4CC2-B70F-63D7E20EF6C4}"/>
            </a:ext>
          </a:extLst>
        </xdr:cNvPr>
        <xdr:cNvSpPr/>
      </xdr:nvSpPr>
      <xdr:spPr>
        <a:xfrm>
          <a:off x="1943100" y="1962152"/>
          <a:ext cx="1552575" cy="16668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576019</xdr:colOff>
      <xdr:row>18</xdr:row>
      <xdr:rowOff>232467</xdr:rowOff>
    </xdr:from>
    <xdr:to>
      <xdr:col>9</xdr:col>
      <xdr:colOff>182524</xdr:colOff>
      <xdr:row>23</xdr:row>
      <xdr:rowOff>208969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9F35A2C6-8FF4-42F7-B8BF-2CBC79697106}"/>
            </a:ext>
          </a:extLst>
        </xdr:cNvPr>
        <xdr:cNvCxnSpPr/>
      </xdr:nvCxnSpPr>
      <xdr:spPr>
        <a:xfrm flipV="1">
          <a:off x="6786282" y="3971365"/>
          <a:ext cx="717177" cy="896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18</xdr:row>
      <xdr:rowOff>78310</xdr:rowOff>
    </xdr:from>
    <xdr:to>
      <xdr:col>11</xdr:col>
      <xdr:colOff>598126</xdr:colOff>
      <xdr:row>20</xdr:row>
      <xdr:rowOff>58419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C4CE0E8-B114-4AB5-9E87-4731185175C1}"/>
            </a:ext>
          </a:extLst>
        </xdr:cNvPr>
        <xdr:cNvSpPr txBox="1"/>
      </xdr:nvSpPr>
      <xdr:spPr>
        <a:xfrm>
          <a:off x="7512424" y="3836893"/>
          <a:ext cx="1909482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FF0000"/>
              </a:solidFill>
            </a:rPr>
            <a:t>작성일자 입력 </a:t>
          </a:r>
          <a:r>
            <a:rPr lang="en-US" altLang="ko-KR" sz="1100">
              <a:solidFill>
                <a:srgbClr val="FF0000"/>
              </a:solidFill>
            </a:rPr>
            <a:t>: </a:t>
          </a:r>
          <a:r>
            <a:rPr lang="ko-KR" altLang="en-US" sz="1100">
              <a:solidFill>
                <a:srgbClr val="FF0000"/>
              </a:solidFill>
            </a:rPr>
            <a:t>예</a:t>
          </a:r>
          <a:r>
            <a:rPr lang="en-US" altLang="ko-KR" sz="1100">
              <a:solidFill>
                <a:srgbClr val="FF0000"/>
              </a:solidFill>
            </a:rPr>
            <a:t>)</a:t>
          </a:r>
          <a:r>
            <a:rPr lang="en-US" altLang="ko-KR" sz="1100" baseline="0">
              <a:solidFill>
                <a:srgbClr val="FF0000"/>
              </a:solidFill>
            </a:rPr>
            <a:t> 251231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6669</xdr:colOff>
      <xdr:row>99</xdr:row>
      <xdr:rowOff>132267</xdr:rowOff>
    </xdr:from>
    <xdr:to>
      <xdr:col>9</xdr:col>
      <xdr:colOff>706065</xdr:colOff>
      <xdr:row>102</xdr:row>
      <xdr:rowOff>250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8B237026-BAF1-4050-B7AE-BE36474B2DE9}"/>
            </a:ext>
          </a:extLst>
        </xdr:cNvPr>
        <xdr:cNvCxnSpPr/>
      </xdr:nvCxnSpPr>
      <xdr:spPr>
        <a:xfrm flipV="1">
          <a:off x="5262282" y="20574000"/>
          <a:ext cx="2662518" cy="5199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722330</xdr:colOff>
      <xdr:row>98</xdr:row>
      <xdr:rowOff>181853</xdr:rowOff>
    </xdr:from>
    <xdr:to>
      <xdr:col>11</xdr:col>
      <xdr:colOff>1113536</xdr:colOff>
      <xdr:row>100</xdr:row>
      <xdr:rowOff>8705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6CF2FD2-1481-40D4-A340-63D6C8D030EF}"/>
            </a:ext>
          </a:extLst>
        </xdr:cNvPr>
        <xdr:cNvSpPr txBox="1"/>
      </xdr:nvSpPr>
      <xdr:spPr>
        <a:xfrm>
          <a:off x="7933764" y="20394706"/>
          <a:ext cx="1909482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FF0000"/>
              </a:solidFill>
            </a:rPr>
            <a:t>연령 숫자만 입력 </a:t>
          </a:r>
          <a:r>
            <a:rPr lang="en-US" altLang="ko-KR" sz="1100">
              <a:solidFill>
                <a:srgbClr val="FF0000"/>
              </a:solidFill>
            </a:rPr>
            <a:t>: </a:t>
          </a:r>
          <a:r>
            <a:rPr lang="ko-KR" altLang="en-US" sz="1100">
              <a:solidFill>
                <a:srgbClr val="FF0000"/>
              </a:solidFill>
            </a:rPr>
            <a:t>예</a:t>
          </a:r>
          <a:r>
            <a:rPr lang="en-US" altLang="ko-KR" sz="1100">
              <a:solidFill>
                <a:srgbClr val="FF0000"/>
              </a:solidFill>
            </a:rPr>
            <a:t>)</a:t>
          </a:r>
          <a:r>
            <a:rPr lang="ko-KR" altLang="en-US" sz="1100">
              <a:solidFill>
                <a:srgbClr val="FF0000"/>
              </a:solidFill>
            </a:rPr>
            <a:t> </a:t>
          </a:r>
          <a:r>
            <a:rPr lang="en-US" altLang="ko-KR" sz="1100">
              <a:solidFill>
                <a:srgbClr val="FF0000"/>
              </a:solidFill>
            </a:rPr>
            <a:t>65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5.vml"/><Relationship Id="rId4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E44"/>
  <sheetViews>
    <sheetView showGridLines="0" workbookViewId="0">
      <selection activeCell="G23" sqref="G23"/>
    </sheetView>
  </sheetViews>
  <sheetFormatPr defaultColWidth="9" defaultRowHeight="15.6"/>
  <cols>
    <col min="1" max="1" width="9" style="47"/>
    <col min="2" max="2" width="2.8984375" style="47" customWidth="1"/>
    <col min="3" max="3" width="21.3984375" style="47" customWidth="1"/>
    <col min="4" max="4" width="17.3984375" style="47" customWidth="1"/>
    <col min="5" max="5" width="19.5" style="47" customWidth="1"/>
    <col min="6" max="16384" width="9" style="47"/>
  </cols>
  <sheetData>
    <row r="3" spans="2:3" ht="21">
      <c r="C3" s="177" t="str">
        <f>'(1-2) 기초자료_퇴직급여 '!D12&amp;" feedback"</f>
        <v xml:space="preserve"> feedback</v>
      </c>
    </row>
    <row r="6" spans="2:3">
      <c r="C6" s="47" t="s">
        <v>250</v>
      </c>
    </row>
    <row r="8" spans="2:3">
      <c r="B8" s="47">
        <v>1</v>
      </c>
      <c r="C8" s="224" t="s">
        <v>245</v>
      </c>
    </row>
    <row r="9" spans="2:3">
      <c r="C9" s="224"/>
    </row>
    <row r="10" spans="2:3">
      <c r="B10" s="47">
        <f>B8+1</f>
        <v>2</v>
      </c>
      <c r="C10" s="224" t="s">
        <v>246</v>
      </c>
    </row>
    <row r="11" spans="2:3">
      <c r="C11" s="224"/>
    </row>
    <row r="12" spans="2:3">
      <c r="B12" s="47">
        <f>B10+1</f>
        <v>3</v>
      </c>
      <c r="C12" s="224" t="s">
        <v>247</v>
      </c>
    </row>
    <row r="13" spans="2:3">
      <c r="C13" s="224"/>
    </row>
    <row r="14" spans="2:3">
      <c r="B14" s="47">
        <f>B12+1</f>
        <v>4</v>
      </c>
      <c r="C14" s="224" t="s">
        <v>248</v>
      </c>
    </row>
    <row r="15" spans="2:3">
      <c r="C15" s="224"/>
    </row>
    <row r="16" spans="2:3">
      <c r="B16" s="47">
        <f>B14+1</f>
        <v>5</v>
      </c>
      <c r="C16" s="224" t="s">
        <v>249</v>
      </c>
    </row>
    <row r="17" spans="2:4">
      <c r="C17" s="224"/>
    </row>
    <row r="18" spans="2:4">
      <c r="B18" s="47">
        <v>6</v>
      </c>
      <c r="C18" s="224" t="s">
        <v>382</v>
      </c>
    </row>
    <row r="19" spans="2:4">
      <c r="C19" s="224"/>
    </row>
    <row r="22" spans="2:4">
      <c r="C22" s="47" t="s">
        <v>256</v>
      </c>
    </row>
    <row r="24" spans="2:4">
      <c r="B24" s="47">
        <v>1</v>
      </c>
      <c r="C24" s="47" t="s">
        <v>251</v>
      </c>
    </row>
    <row r="26" spans="2:4">
      <c r="B26" s="47">
        <v>2</v>
      </c>
      <c r="C26" s="47" t="s">
        <v>252</v>
      </c>
    </row>
    <row r="27" spans="2:4">
      <c r="C27" s="47" t="s">
        <v>253</v>
      </c>
    </row>
    <row r="29" spans="2:4">
      <c r="C29" s="261" t="s">
        <v>254</v>
      </c>
      <c r="D29" s="261" t="s">
        <v>255</v>
      </c>
    </row>
    <row r="30" spans="2:4">
      <c r="C30" s="260"/>
      <c r="D30" s="260" t="e">
        <f>VLOOKUP(C30,'(2-2) 재직자 명부'!$B$2:$J$164,5,0)</f>
        <v>#N/A</v>
      </c>
    </row>
    <row r="31" spans="2:4">
      <c r="C31" s="260"/>
      <c r="D31" s="260" t="e">
        <f>VLOOKUP(C31,'(2-2) 재직자 명부'!$B$2:$J$164,5,0)</f>
        <v>#N/A</v>
      </c>
    </row>
    <row r="32" spans="2:4">
      <c r="C32" s="260"/>
      <c r="D32" s="260" t="e">
        <f>VLOOKUP(C32,'(2-2) 재직자 명부'!$B$2:$J$164,5,0)</f>
        <v>#N/A</v>
      </c>
    </row>
    <row r="33" spans="2:5">
      <c r="C33" s="260"/>
      <c r="D33" s="260" t="e">
        <f>VLOOKUP(C33,'(2-2) 재직자 명부'!$B$2:$J$164,5,0)</f>
        <v>#N/A</v>
      </c>
    </row>
    <row r="34" spans="2:5">
      <c r="D34" s="47" t="e">
        <f>VLOOKUP(C34,'(2-2) 재직자 명부'!$B$2:$J$164,5,0)</f>
        <v>#N/A</v>
      </c>
    </row>
    <row r="36" spans="2:5">
      <c r="B36" s="47">
        <v>3</v>
      </c>
      <c r="C36" s="47" t="s">
        <v>395</v>
      </c>
    </row>
    <row r="37" spans="2:5">
      <c r="C37" s="47" t="s">
        <v>253</v>
      </c>
    </row>
    <row r="38" spans="2:5">
      <c r="C38" s="47" t="s">
        <v>396</v>
      </c>
    </row>
    <row r="40" spans="2:5">
      <c r="C40" s="261" t="s">
        <v>254</v>
      </c>
      <c r="D40" s="261" t="s">
        <v>397</v>
      </c>
      <c r="E40" s="261" t="s">
        <v>398</v>
      </c>
    </row>
    <row r="41" spans="2:5">
      <c r="C41" s="262"/>
      <c r="D41" s="262" t="e">
        <f>VLOOKUP(C41,'(2-2) 재직자 명부'!$B$2:$L$218,6,0)</f>
        <v>#N/A</v>
      </c>
      <c r="E41" s="262" t="e">
        <f>VLOOKUP(C41,'(2-2) 재직자 명부'!$B$2:$L$218,7,0)</f>
        <v>#N/A</v>
      </c>
    </row>
    <row r="42" spans="2:5">
      <c r="C42" s="262"/>
      <c r="D42" s="262"/>
      <c r="E42" s="262"/>
    </row>
    <row r="43" spans="2:5">
      <c r="C43" s="262"/>
      <c r="D43" s="262"/>
      <c r="E43" s="262"/>
    </row>
    <row r="44" spans="2:5">
      <c r="C44" s="262"/>
      <c r="D44" s="262"/>
      <c r="E44" s="262"/>
    </row>
  </sheetData>
  <phoneticPr fontId="3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  <pageSetUpPr fitToPage="1"/>
  </sheetPr>
  <dimension ref="A1:F23"/>
  <sheetViews>
    <sheetView showGridLines="0" topLeftCell="A8" workbookViewId="0">
      <selection activeCell="B3" sqref="B3"/>
    </sheetView>
  </sheetViews>
  <sheetFormatPr defaultRowHeight="17.399999999999999"/>
  <cols>
    <col min="2" max="2" width="11.8984375" customWidth="1"/>
    <col min="3" max="3" width="4.09765625" customWidth="1"/>
    <col min="4" max="4" width="18.5" customWidth="1"/>
    <col min="5" max="5" width="56" customWidth="1"/>
    <col min="6" max="6" width="30.69921875" customWidth="1"/>
  </cols>
  <sheetData>
    <row r="1" spans="1:6">
      <c r="A1" s="168" t="s">
        <v>181</v>
      </c>
      <c r="B1" s="47"/>
      <c r="C1" s="161"/>
      <c r="D1" s="47"/>
      <c r="E1" s="47"/>
      <c r="F1" s="161"/>
    </row>
    <row r="2" spans="1:6">
      <c r="A2" s="168" t="s">
        <v>183</v>
      </c>
      <c r="B2" s="47"/>
      <c r="C2" s="161"/>
      <c r="D2" s="47"/>
      <c r="E2" s="47"/>
      <c r="F2" s="161"/>
    </row>
    <row r="3" spans="1:6">
      <c r="A3" s="168"/>
      <c r="B3" s="169" t="s">
        <v>371</v>
      </c>
      <c r="C3" s="161"/>
      <c r="D3" s="47"/>
      <c r="E3" s="47"/>
      <c r="F3" s="161"/>
    </row>
    <row r="4" spans="1:6" ht="4.5" customHeight="1">
      <c r="A4" s="168"/>
      <c r="B4" s="169"/>
      <c r="C4" s="161"/>
      <c r="D4" s="47"/>
      <c r="E4" s="47"/>
      <c r="F4" s="161"/>
    </row>
    <row r="5" spans="1:6">
      <c r="A5" s="168"/>
      <c r="B5" s="226" t="s">
        <v>373</v>
      </c>
      <c r="C5" s="161"/>
      <c r="D5" s="47"/>
      <c r="E5" s="47"/>
      <c r="F5" s="161"/>
    </row>
    <row r="6" spans="1:6">
      <c r="A6" s="168"/>
      <c r="B6" s="226" t="s">
        <v>372</v>
      </c>
      <c r="C6" s="161"/>
      <c r="D6" s="47"/>
      <c r="E6" s="47"/>
      <c r="F6" s="161"/>
    </row>
    <row r="7" spans="1:6" ht="7.5" customHeight="1" thickBot="1">
      <c r="A7" s="47"/>
      <c r="B7" s="47"/>
      <c r="C7" s="161"/>
      <c r="D7" s="47"/>
      <c r="E7" s="47"/>
      <c r="F7" s="161"/>
    </row>
    <row r="8" spans="1:6" ht="19.5" customHeight="1">
      <c r="A8" s="47"/>
      <c r="B8" s="162" t="s">
        <v>189</v>
      </c>
      <c r="C8" s="163" t="s">
        <v>178</v>
      </c>
      <c r="D8" s="163" t="s">
        <v>179</v>
      </c>
      <c r="E8" s="163" t="s">
        <v>180</v>
      </c>
      <c r="F8" s="170" t="s">
        <v>190</v>
      </c>
    </row>
    <row r="9" spans="1:6" ht="13.5" customHeight="1">
      <c r="A9" s="47"/>
      <c r="B9" s="282" t="s">
        <v>192</v>
      </c>
      <c r="C9" s="227">
        <v>1</v>
      </c>
      <c r="D9" s="227" t="s">
        <v>392</v>
      </c>
      <c r="E9" s="228" t="s">
        <v>393</v>
      </c>
      <c r="F9" s="231" t="s">
        <v>182</v>
      </c>
    </row>
    <row r="10" spans="1:6">
      <c r="A10" s="47"/>
      <c r="B10" s="283"/>
      <c r="C10" s="229">
        <v>2</v>
      </c>
      <c r="D10" s="229" t="s">
        <v>394</v>
      </c>
      <c r="E10" s="230" t="str">
        <f>"정년은 만 "&amp;'(1-2) 기초자료_퇴직급여 '!$F$103&amp;" 세 입니까?"</f>
        <v>정년은 만 60 세 입니까?</v>
      </c>
      <c r="F10" s="231" t="s">
        <v>181</v>
      </c>
    </row>
    <row r="11" spans="1:6">
      <c r="A11" s="47"/>
      <c r="B11" s="283"/>
      <c r="C11" s="229">
        <v>3</v>
      </c>
      <c r="D11" s="229" t="s">
        <v>18</v>
      </c>
      <c r="E11" s="230" t="str">
        <f>IF('(1-2) 기초자료_퇴직급여 '!$F$104="","임금피크제 적용 여부 선택 부탁드립니다",IF('(1-2) 기초자료_퇴직급여 '!$F$104="YES","만 "&amp;'(1-2) 기초자료_퇴직급여 '!I104&amp;"세 부터 임금피크제가 적용됩니까?","임금피크제 미적용 기업입니까?"))</f>
        <v>임금피크제 미적용 기업입니까?</v>
      </c>
      <c r="F11" s="231" t="s">
        <v>404</v>
      </c>
    </row>
    <row r="12" spans="1:6">
      <c r="A12" s="47"/>
      <c r="B12" s="283"/>
      <c r="C12" s="229">
        <v>4</v>
      </c>
      <c r="D12" s="229" t="s">
        <v>194</v>
      </c>
      <c r="E12" s="230" t="str">
        <f>IF('(1-2) 기초자료_퇴직급여 '!F105="","기타장기종업원급여 적용 여부 선택 부탁드립니다","기타장기종업원급여 "&amp;IF('(1-2) 기초자료_퇴직급여 '!$F$105="YES","적용","미적용")&amp;" 기업입니까?")</f>
        <v>기타장기종업원급여 미적용 기업입니까?</v>
      </c>
      <c r="F12" s="231" t="s">
        <v>404</v>
      </c>
    </row>
    <row r="13" spans="1:6">
      <c r="A13" s="47"/>
      <c r="B13" s="283"/>
      <c r="C13" s="229">
        <v>5</v>
      </c>
      <c r="D13" s="229" t="s">
        <v>381</v>
      </c>
      <c r="E13" s="230" t="str">
        <f>IF('(1-2) 기초자료_퇴직급여 '!$F$108="","퇴직금제도 선택 부탁드립니다","퇴직금제도는 "&amp;'(1-2) 기초자료_퇴직급여 '!$F$108&amp;"를 적용합니까?")</f>
        <v>퇴직금제도는 법정제를 적용합니까?</v>
      </c>
      <c r="F13" s="231" t="s">
        <v>404</v>
      </c>
    </row>
    <row r="14" spans="1:6">
      <c r="A14" s="47"/>
      <c r="B14" s="283"/>
      <c r="C14" s="229">
        <v>6</v>
      </c>
      <c r="D14" s="229" t="s">
        <v>195</v>
      </c>
      <c r="E14" s="230" t="str">
        <f>IF('(1-2) 기초자료_퇴직급여 '!$I$112="","임금체계 선택 부탁드립니다.",IF('(1-2) 기초자료_퇴직급여 '!$I$112="예 (호봉제)","근무기간에 따른 호봉 적용 기업 맞습니까?","근무기간에 따른 호봉 미적용 기업입니까?"))</f>
        <v>근무기간에 따른 호봉 미적용 기업입니까?</v>
      </c>
      <c r="F14" s="231" t="s">
        <v>182</v>
      </c>
    </row>
    <row r="15" spans="1:6">
      <c r="A15" s="47"/>
      <c r="B15" s="284"/>
      <c r="C15" s="259" t="str">
        <f>'(2-2) 재직자 명부'!B9</f>
        <v>8</v>
      </c>
      <c r="D15" s="232" t="s">
        <v>196</v>
      </c>
      <c r="E15" s="233" t="str">
        <f>"할인율 산출기준 채권 "&amp;'(1-2) 기초자료_퇴직급여 '!$D$121&amp;" 적용 기업입니까?"</f>
        <v>할인율 산출기준 채권 회사채AA+ 적용 기업입니까?</v>
      </c>
      <c r="F15" s="234" t="s">
        <v>182</v>
      </c>
    </row>
    <row r="16" spans="1:6" ht="16.5" customHeight="1">
      <c r="A16" s="224"/>
      <c r="B16" s="279" t="s">
        <v>260</v>
      </c>
      <c r="C16" s="235">
        <v>1</v>
      </c>
      <c r="D16" s="235" t="s">
        <v>261</v>
      </c>
      <c r="E16" s="236" t="s">
        <v>262</v>
      </c>
      <c r="F16" s="237" t="s">
        <v>404</v>
      </c>
    </row>
    <row r="17" spans="1:6" ht="31.2">
      <c r="A17" s="47"/>
      <c r="B17" s="280"/>
      <c r="C17" s="238">
        <v>2</v>
      </c>
      <c r="D17" s="238" t="s">
        <v>263</v>
      </c>
      <c r="E17" s="239" t="s">
        <v>385</v>
      </c>
      <c r="F17" s="240" t="s">
        <v>182</v>
      </c>
    </row>
    <row r="18" spans="1:6">
      <c r="A18" s="47"/>
      <c r="B18" s="280"/>
      <c r="C18" s="238">
        <v>3</v>
      </c>
      <c r="D18" s="238" t="s">
        <v>257</v>
      </c>
      <c r="E18" s="241" t="s">
        <v>386</v>
      </c>
      <c r="F18" s="240" t="s">
        <v>404</v>
      </c>
    </row>
    <row r="19" spans="1:6">
      <c r="A19" s="47"/>
      <c r="B19" s="280"/>
      <c r="C19" s="238">
        <v>4</v>
      </c>
      <c r="D19" s="238" t="s">
        <v>258</v>
      </c>
      <c r="E19" s="241" t="s">
        <v>390</v>
      </c>
      <c r="F19" s="240" t="s">
        <v>404</v>
      </c>
    </row>
    <row r="20" spans="1:6">
      <c r="A20" s="47"/>
      <c r="B20" s="280"/>
      <c r="C20" s="238">
        <v>5</v>
      </c>
      <c r="D20" s="238" t="s">
        <v>258</v>
      </c>
      <c r="E20" s="241" t="str">
        <f>IF(F19="예","재직자명부에서 평가기준일 퇴사자 제외 하셨습니까?","비용처리 안하셨다면 1월 퇴사 처리 예정입니까?")</f>
        <v>재직자명부에서 평가기준일 퇴사자 제외 하셨습니까?</v>
      </c>
      <c r="F20" s="240" t="s">
        <v>404</v>
      </c>
    </row>
    <row r="21" spans="1:6">
      <c r="A21" s="47"/>
      <c r="B21" s="281"/>
      <c r="C21" s="242">
        <v>6</v>
      </c>
      <c r="D21" s="242" t="s">
        <v>259</v>
      </c>
      <c r="E21" s="243" t="s">
        <v>380</v>
      </c>
      <c r="F21" s="244" t="s">
        <v>404</v>
      </c>
    </row>
    <row r="22" spans="1:6" ht="31.8" thickBot="1">
      <c r="A22" s="47"/>
      <c r="B22" s="164" t="s">
        <v>188</v>
      </c>
      <c r="C22" s="165">
        <v>1</v>
      </c>
      <c r="D22" s="165" t="s">
        <v>187</v>
      </c>
      <c r="E22" s="166" t="str">
        <f>IF(F19="예","퇴직자명부에 평가기준일 퇴사자를 포함하셨습니까?","퇴직자명부에서 평가기준일 퇴사자를 제외하셨습니까?")</f>
        <v>퇴직자명부에 평가기준일 퇴사자를 포함하셨습니까?</v>
      </c>
      <c r="F22" s="167" t="s">
        <v>404</v>
      </c>
    </row>
    <row r="23" spans="1:6">
      <c r="A23" s="47"/>
      <c r="B23" s="47"/>
      <c r="C23" s="161"/>
      <c r="D23" s="47"/>
      <c r="E23" s="47"/>
      <c r="F23" s="161"/>
    </row>
  </sheetData>
  <mergeCells count="2">
    <mergeCell ref="B16:B21"/>
    <mergeCell ref="B9:B15"/>
  </mergeCells>
  <phoneticPr fontId="33" type="noConversion"/>
  <dataValidations count="1">
    <dataValidation type="list" allowBlank="1" showInputMessage="1" showErrorMessage="1" sqref="F9:F22">
      <formula1>$A$1:$A$2</formula1>
    </dataValidation>
  </dataValidations>
  <pageMargins left="0.7" right="0.7" top="0.75" bottom="0.75" header="0.3" footer="0.3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  <pageSetUpPr fitToPage="1"/>
  </sheetPr>
  <dimension ref="A1:O155"/>
  <sheetViews>
    <sheetView showGridLines="0" topLeftCell="A132" zoomScale="85" zoomScaleNormal="85" workbookViewId="0">
      <selection activeCell="D17" sqref="D17:L17"/>
    </sheetView>
  </sheetViews>
  <sheetFormatPr defaultRowHeight="17.399999999999999"/>
  <cols>
    <col min="1" max="1" width="3" customWidth="1"/>
    <col min="2" max="2" width="8" customWidth="1"/>
    <col min="3" max="3" width="15.09765625" customWidth="1"/>
    <col min="4" max="4" width="7.19921875" customWidth="1"/>
    <col min="5" max="5" width="7.09765625" customWidth="1"/>
    <col min="6" max="6" width="15.09765625" customWidth="1"/>
    <col min="7" max="7" width="13.8984375" customWidth="1"/>
    <col min="8" max="8" width="13.59765625" customWidth="1"/>
    <col min="9" max="9" width="13.69921875" customWidth="1"/>
    <col min="10" max="10" width="14.3984375" customWidth="1"/>
    <col min="11" max="11" width="6.5" customWidth="1"/>
    <col min="12" max="12" width="39.09765625" customWidth="1"/>
    <col min="13" max="13" width="23.3984375" customWidth="1"/>
    <col min="14" max="14" width="13.8984375" hidden="1" customWidth="1"/>
    <col min="15" max="15" width="56.19921875" hidden="1" customWidth="1"/>
  </cols>
  <sheetData>
    <row r="1" spans="1:12" ht="22.2">
      <c r="A1" s="528"/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</row>
    <row r="2" spans="1:12" ht="22.2">
      <c r="B2" s="59" t="s">
        <v>375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2" customHeight="1">
      <c r="A3" s="21"/>
      <c r="B3" s="22"/>
      <c r="D3" s="22"/>
      <c r="E3" s="22"/>
      <c r="F3" s="22"/>
      <c r="G3" s="22"/>
      <c r="H3" s="22"/>
      <c r="I3" s="22"/>
      <c r="J3" s="22"/>
      <c r="K3" s="22"/>
      <c r="L3" s="22"/>
    </row>
    <row r="4" spans="1:12" ht="14.25" customHeight="1">
      <c r="A4" s="21"/>
      <c r="B4" s="23" t="s">
        <v>21</v>
      </c>
      <c r="D4" s="22"/>
      <c r="E4" s="22"/>
      <c r="F4" s="22"/>
      <c r="G4" s="22"/>
      <c r="H4" s="22"/>
      <c r="I4" s="22"/>
      <c r="J4" s="22"/>
      <c r="K4" s="22"/>
      <c r="L4" s="22"/>
    </row>
    <row r="5" spans="1:12" ht="14.25" customHeight="1">
      <c r="A5" s="21"/>
      <c r="B5" s="23" t="s">
        <v>379</v>
      </c>
      <c r="D5" s="22"/>
      <c r="E5" s="22"/>
      <c r="F5" s="22"/>
      <c r="G5" s="22"/>
      <c r="H5" s="22"/>
      <c r="I5" s="22"/>
      <c r="J5" s="22"/>
      <c r="K5" s="22"/>
      <c r="L5" s="22"/>
    </row>
    <row r="6" spans="1:12" ht="14.25" customHeight="1">
      <c r="A6" s="21"/>
      <c r="B6" s="23" t="s">
        <v>22</v>
      </c>
      <c r="D6" s="22"/>
      <c r="E6" s="22"/>
      <c r="F6" s="22"/>
      <c r="G6" s="22"/>
      <c r="H6" s="22"/>
      <c r="I6" s="22"/>
      <c r="J6" s="22"/>
      <c r="K6" s="22"/>
      <c r="L6" s="22"/>
    </row>
    <row r="7" spans="1:12" ht="14.25" customHeight="1">
      <c r="A7" s="21"/>
      <c r="B7" s="23"/>
      <c r="D7" s="22"/>
      <c r="E7" s="22"/>
      <c r="F7" s="22"/>
      <c r="G7" s="22"/>
      <c r="H7" s="22"/>
      <c r="I7" s="22"/>
      <c r="J7" s="22"/>
      <c r="K7" s="22"/>
      <c r="L7" s="22"/>
    </row>
    <row r="8" spans="1:12" ht="13.5" customHeight="1">
      <c r="B8" s="25" t="s">
        <v>23</v>
      </c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13.5" customHeight="1">
      <c r="B9" s="25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ht="22.2">
      <c r="B10" s="26" t="s">
        <v>24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2" customHeight="1" thickBot="1">
      <c r="B11" s="26"/>
      <c r="C11" s="20"/>
      <c r="D11" s="20"/>
      <c r="E11" s="20"/>
      <c r="F11" s="20"/>
      <c r="G11" s="20"/>
      <c r="H11" s="20"/>
      <c r="I11" s="20"/>
      <c r="J11" s="20"/>
      <c r="K11" s="20"/>
    </row>
    <row r="12" spans="1:12">
      <c r="A12" s="58"/>
      <c r="B12" s="529" t="s">
        <v>25</v>
      </c>
      <c r="C12" s="530"/>
      <c r="D12" s="531"/>
      <c r="E12" s="531"/>
      <c r="F12" s="531"/>
      <c r="G12" s="531"/>
      <c r="H12" s="531"/>
      <c r="I12" s="531"/>
      <c r="J12" s="531"/>
      <c r="K12" s="531"/>
      <c r="L12" s="532"/>
    </row>
    <row r="13" spans="1:12">
      <c r="A13" s="58"/>
      <c r="B13" s="533" t="s">
        <v>26</v>
      </c>
      <c r="C13" s="534"/>
      <c r="D13" s="535"/>
      <c r="E13" s="535"/>
      <c r="F13" s="535"/>
      <c r="G13" s="535"/>
      <c r="H13" s="535"/>
      <c r="I13" s="535"/>
      <c r="J13" s="535"/>
      <c r="K13" s="535"/>
      <c r="L13" s="536"/>
    </row>
    <row r="14" spans="1:12">
      <c r="A14" s="58"/>
      <c r="B14" s="373" t="s">
        <v>27</v>
      </c>
      <c r="C14" s="372"/>
      <c r="D14" s="537"/>
      <c r="E14" s="537"/>
      <c r="F14" s="537"/>
      <c r="G14" s="537"/>
      <c r="H14" s="537"/>
      <c r="I14" s="537"/>
      <c r="J14" s="537"/>
      <c r="K14" s="537"/>
      <c r="L14" s="538"/>
    </row>
    <row r="15" spans="1:12">
      <c r="A15" s="58"/>
      <c r="B15" s="512" t="s">
        <v>28</v>
      </c>
      <c r="C15" s="513"/>
      <c r="D15" s="514"/>
      <c r="E15" s="515"/>
      <c r="F15" s="515"/>
      <c r="G15" s="515"/>
      <c r="H15" s="515"/>
      <c r="I15" s="515"/>
      <c r="J15" s="515"/>
      <c r="K15" s="515"/>
      <c r="L15" s="516"/>
    </row>
    <row r="16" spans="1:12">
      <c r="A16" s="58"/>
      <c r="B16" s="517" t="s">
        <v>29</v>
      </c>
      <c r="C16" s="518"/>
      <c r="D16" s="519" t="s">
        <v>405</v>
      </c>
      <c r="E16" s="520"/>
      <c r="F16" s="520"/>
      <c r="G16" s="520"/>
      <c r="H16" s="520"/>
      <c r="I16" s="520"/>
      <c r="J16" s="520"/>
      <c r="K16" s="520"/>
      <c r="L16" s="521"/>
    </row>
    <row r="17" spans="1:12" ht="18" thickBot="1">
      <c r="A17" s="58"/>
      <c r="B17" s="522" t="s">
        <v>30</v>
      </c>
      <c r="C17" s="523"/>
      <c r="D17" s="524" t="s">
        <v>399</v>
      </c>
      <c r="E17" s="525"/>
      <c r="F17" s="525"/>
      <c r="G17" s="525"/>
      <c r="H17" s="525"/>
      <c r="I17" s="525"/>
      <c r="J17" s="525"/>
      <c r="K17" s="525"/>
      <c r="L17" s="526"/>
    </row>
    <row r="18" spans="1:12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</row>
    <row r="19" spans="1:12" ht="19.2">
      <c r="B19" s="26" t="s">
        <v>31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1:12" ht="6.75" customHeight="1">
      <c r="B20" s="26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spans="1:12">
      <c r="B21" s="24" t="s">
        <v>32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1:12" ht="16.5" customHeight="1">
      <c r="A22" s="26"/>
      <c r="B22" s="141" t="s">
        <v>139</v>
      </c>
      <c r="C22" s="24"/>
      <c r="D22" s="24"/>
      <c r="E22" s="24"/>
      <c r="F22" s="24"/>
      <c r="G22" s="24"/>
      <c r="H22" s="24"/>
      <c r="I22" s="24"/>
      <c r="J22" s="247" t="s">
        <v>203</v>
      </c>
      <c r="K22" s="24"/>
      <c r="L22" s="24"/>
    </row>
    <row r="23" spans="1:12" ht="9" customHeight="1" thickBot="1">
      <c r="A23" s="26"/>
      <c r="B23" s="13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12">
      <c r="A24" s="24"/>
      <c r="B24" s="356" t="s">
        <v>33</v>
      </c>
      <c r="C24" s="357"/>
      <c r="D24" s="287" t="s">
        <v>34</v>
      </c>
      <c r="E24" s="437"/>
      <c r="F24" s="437"/>
      <c r="G24" s="437"/>
      <c r="H24" s="437"/>
      <c r="I24" s="437"/>
      <c r="J24" s="285" t="s">
        <v>177</v>
      </c>
      <c r="K24" s="287" t="s">
        <v>104</v>
      </c>
      <c r="L24" s="288"/>
    </row>
    <row r="25" spans="1:12" ht="18" customHeight="1">
      <c r="A25" s="24"/>
      <c r="B25" s="358"/>
      <c r="C25" s="359"/>
      <c r="D25" s="446" t="s">
        <v>101</v>
      </c>
      <c r="E25" s="447"/>
      <c r="F25" s="266"/>
      <c r="G25" s="266"/>
      <c r="H25" s="266"/>
      <c r="I25" s="266" t="s">
        <v>401</v>
      </c>
      <c r="J25" s="286"/>
      <c r="K25" s="484" t="s">
        <v>176</v>
      </c>
      <c r="L25" s="527"/>
    </row>
    <row r="26" spans="1:12" ht="16.5" customHeight="1">
      <c r="A26" s="24"/>
      <c r="B26" s="461" t="s">
        <v>35</v>
      </c>
      <c r="C26" s="412" t="s">
        <v>36</v>
      </c>
      <c r="D26" s="506" t="s">
        <v>37</v>
      </c>
      <c r="E26" s="368"/>
      <c r="F26" s="61">
        <v>0</v>
      </c>
      <c r="G26" s="61">
        <v>0</v>
      </c>
      <c r="H26" s="61">
        <v>0</v>
      </c>
      <c r="I26" s="61">
        <v>17</v>
      </c>
      <c r="J26" s="155" t="b">
        <f>COUNTIF('(2-2) 재직자 명부'!I:I,3)=I26</f>
        <v>1</v>
      </c>
      <c r="K26" s="289" t="s">
        <v>166</v>
      </c>
      <c r="L26" s="290"/>
    </row>
    <row r="27" spans="1:12">
      <c r="A27" s="24"/>
      <c r="B27" s="503"/>
      <c r="C27" s="372"/>
      <c r="D27" s="376" t="s">
        <v>38</v>
      </c>
      <c r="E27" s="354"/>
      <c r="F27" s="62">
        <v>0</v>
      </c>
      <c r="G27" s="62">
        <v>0</v>
      </c>
      <c r="H27" s="62">
        <v>0</v>
      </c>
      <c r="I27" s="63">
        <v>664</v>
      </c>
      <c r="J27" s="156" t="b">
        <f>COUNTIF('(2-2) 재직자 명부'!I:I,1)+COUNTIF('(2-2) 재직자 명부'!I:I,2)=I27</f>
        <v>1</v>
      </c>
      <c r="K27" s="291"/>
      <c r="L27" s="292"/>
    </row>
    <row r="28" spans="1:12" ht="16.5" customHeight="1">
      <c r="A28" s="24"/>
      <c r="B28" s="503"/>
      <c r="C28" s="372"/>
      <c r="D28" s="471" t="s">
        <v>39</v>
      </c>
      <c r="E28" s="472"/>
      <c r="F28" s="30">
        <v>0</v>
      </c>
      <c r="G28" s="30">
        <v>0</v>
      </c>
      <c r="H28" s="30">
        <v>0</v>
      </c>
      <c r="I28" s="30">
        <v>69</v>
      </c>
      <c r="J28" s="156" t="b">
        <f>COUNTIF('(2-2) 재직자 명부'!I:I,4)=I28</f>
        <v>1</v>
      </c>
      <c r="K28" s="291"/>
      <c r="L28" s="292"/>
    </row>
    <row r="29" spans="1:12">
      <c r="A29" s="24"/>
      <c r="B29" s="503"/>
      <c r="C29" s="372"/>
      <c r="D29" s="348" t="s">
        <v>40</v>
      </c>
      <c r="E29" s="349"/>
      <c r="F29" s="28">
        <f>SUM(F26:F28)</f>
        <v>0</v>
      </c>
      <c r="G29" s="28">
        <f>SUM(G26:G28)</f>
        <v>0</v>
      </c>
      <c r="H29" s="28">
        <f>SUM(H26:H28)</f>
        <v>0</v>
      </c>
      <c r="I29" s="28">
        <f>SUM(I26:I28)</f>
        <v>750</v>
      </c>
      <c r="J29" s="157" t="b">
        <f>COUNTA('(2-2) 재직자 명부'!B2:B60000)=I29</f>
        <v>1</v>
      </c>
      <c r="K29" s="293"/>
      <c r="L29" s="294"/>
    </row>
    <row r="30" spans="1:12" ht="16.5" customHeight="1">
      <c r="A30" s="24"/>
      <c r="B30" s="503"/>
      <c r="C30" s="464" t="s">
        <v>41</v>
      </c>
      <c r="D30" s="506" t="s">
        <v>37</v>
      </c>
      <c r="E30" s="368"/>
      <c r="F30" s="64">
        <v>0</v>
      </c>
      <c r="G30" s="64">
        <v>0</v>
      </c>
      <c r="H30" s="64">
        <v>0</v>
      </c>
      <c r="I30" s="64">
        <v>2</v>
      </c>
      <c r="J30" s="155" t="b">
        <f>COUNTIFS('(2-3) 퇴직자 및 DC전환자 명부'!I:I,1,'(2-3) 퇴직자 및 DC전환자 명부'!H:H,3)=I30</f>
        <v>0</v>
      </c>
      <c r="K30" s="289" t="s">
        <v>167</v>
      </c>
      <c r="L30" s="290"/>
    </row>
    <row r="31" spans="1:12">
      <c r="A31" s="24"/>
      <c r="B31" s="503"/>
      <c r="C31" s="507"/>
      <c r="D31" s="376" t="s">
        <v>38</v>
      </c>
      <c r="E31" s="354"/>
      <c r="F31" s="66">
        <v>0</v>
      </c>
      <c r="G31" s="66">
        <v>0</v>
      </c>
      <c r="H31" s="66">
        <v>0</v>
      </c>
      <c r="I31" s="67">
        <v>381</v>
      </c>
      <c r="J31" s="156" t="b">
        <f>COUNTIFS('(2-3) 퇴직자 및 DC전환자 명부'!I:I,1,'(2-3) 퇴직자 및 DC전환자 명부'!H:H,1)+COUNTIFS('(2-3) 퇴직자 및 DC전환자 명부'!I:I,1,'(2-3) 퇴직자 및 DC전환자 명부'!H:H,2)=I31</f>
        <v>0</v>
      </c>
      <c r="K31" s="291"/>
      <c r="L31" s="292"/>
    </row>
    <row r="32" spans="1:12">
      <c r="A32" s="24"/>
      <c r="B32" s="503"/>
      <c r="C32" s="507"/>
      <c r="D32" s="471" t="s">
        <v>39</v>
      </c>
      <c r="E32" s="472"/>
      <c r="F32" s="65">
        <v>0</v>
      </c>
      <c r="G32" s="65">
        <v>0</v>
      </c>
      <c r="H32" s="65">
        <v>0</v>
      </c>
      <c r="I32" s="65">
        <v>94</v>
      </c>
      <c r="J32" s="156" t="b">
        <f>COUNTIFS('(2-3) 퇴직자 및 DC전환자 명부'!I:I,1,'(2-3) 퇴직자 및 DC전환자 명부'!H:H,4)=I32</f>
        <v>0</v>
      </c>
      <c r="K32" s="291"/>
      <c r="L32" s="292"/>
    </row>
    <row r="33" spans="1:12">
      <c r="A33" s="24"/>
      <c r="B33" s="503"/>
      <c r="C33" s="508"/>
      <c r="D33" s="484" t="s">
        <v>40</v>
      </c>
      <c r="E33" s="485"/>
      <c r="F33" s="29">
        <f>SUM(F30:F32)</f>
        <v>0</v>
      </c>
      <c r="G33" s="29">
        <f>SUM(G30:G32)</f>
        <v>0</v>
      </c>
      <c r="H33" s="29">
        <f>SUM(H30:H32)</f>
        <v>0</v>
      </c>
      <c r="I33" s="29">
        <f>SUM(I30:I32)</f>
        <v>477</v>
      </c>
      <c r="J33" s="157" t="b">
        <f>COUNTIF('(2-3) 퇴직자 및 DC전환자 명부'!I:I,1)=I33</f>
        <v>0</v>
      </c>
      <c r="K33" s="293"/>
      <c r="L33" s="294"/>
    </row>
    <row r="34" spans="1:12" ht="32.1" customHeight="1">
      <c r="A34" s="24"/>
      <c r="B34" s="504"/>
      <c r="C34" s="143" t="s">
        <v>97</v>
      </c>
      <c r="D34" s="250">
        <f t="array" ref="D34">IFERROR(SUMPRODUCT(--(YEAR('(2-2) 재직자 명부'!J2:J10000)=VALUE("20"&amp;LEFT(I25,2)))),0)</f>
        <v>26</v>
      </c>
      <c r="E34" s="159">
        <f t="array" ref="E34">IFERROR(SUMPRODUCT(--(LEFT('(2-2) 재직자 명부'!J:J,4)="20"&amp;LEFT(I25,2))),0)</f>
        <v>0</v>
      </c>
      <c r="F34" s="30">
        <v>0</v>
      </c>
      <c r="G34" s="30">
        <v>0</v>
      </c>
      <c r="H34" s="30">
        <v>0</v>
      </c>
      <c r="I34" s="30">
        <v>26</v>
      </c>
      <c r="J34" s="156" t="b">
        <f>I34=(E34+D34)</f>
        <v>1</v>
      </c>
      <c r="K34" s="295" t="s">
        <v>168</v>
      </c>
      <c r="L34" s="296"/>
    </row>
    <row r="35" spans="1:12" ht="32.1" customHeight="1">
      <c r="A35" s="24"/>
      <c r="B35" s="505"/>
      <c r="C35" s="509" t="s">
        <v>98</v>
      </c>
      <c r="D35" s="510"/>
      <c r="E35" s="511"/>
      <c r="F35" s="30">
        <v>0</v>
      </c>
      <c r="G35" s="30">
        <v>0</v>
      </c>
      <c r="H35" s="30">
        <v>0</v>
      </c>
      <c r="I35" s="30">
        <v>0</v>
      </c>
      <c r="J35" s="158" t="b">
        <f>COUNTIF('(2-3) 퇴직자 및 DC전환자 명부'!I:I,2)=I35</f>
        <v>1</v>
      </c>
      <c r="K35" s="295" t="s">
        <v>169</v>
      </c>
      <c r="L35" s="296"/>
    </row>
    <row r="36" spans="1:12" ht="16.5" customHeight="1">
      <c r="A36" s="24"/>
      <c r="B36" s="371" t="s">
        <v>42</v>
      </c>
      <c r="C36" s="372"/>
      <c r="D36" s="376" t="s">
        <v>37</v>
      </c>
      <c r="E36" s="354"/>
      <c r="F36" s="64">
        <v>0</v>
      </c>
      <c r="G36" s="64">
        <v>0</v>
      </c>
      <c r="H36" s="64">
        <v>0</v>
      </c>
      <c r="I36" s="64">
        <v>0</v>
      </c>
      <c r="J36" s="155" t="b">
        <f>ABS(SUMIF('(2-2) 재직자 명부'!I:I,3,'(2-2) 재직자 명부'!G:G)-I36)&lt;1</f>
        <v>0</v>
      </c>
      <c r="K36" s="486" t="s">
        <v>170</v>
      </c>
      <c r="L36" s="487"/>
    </row>
    <row r="37" spans="1:12">
      <c r="A37" s="24"/>
      <c r="B37" s="373"/>
      <c r="C37" s="372"/>
      <c r="D37" s="376" t="s">
        <v>38</v>
      </c>
      <c r="E37" s="354"/>
      <c r="F37" s="66">
        <v>0</v>
      </c>
      <c r="G37" s="66">
        <v>0</v>
      </c>
      <c r="H37" s="66">
        <v>0</v>
      </c>
      <c r="I37" s="67">
        <v>0</v>
      </c>
      <c r="J37" s="156" t="b">
        <f>ABS(SUMIF('(2-2) 재직자 명부'!I:I,1,'(2-2) 재직자 명부'!G:G)+SUMIF('(2-2) 재직자 명부'!I:I,2,'(2-2) 재직자 명부'!G:G)-I37)&lt;1</f>
        <v>0</v>
      </c>
      <c r="K37" s="488"/>
      <c r="L37" s="489"/>
    </row>
    <row r="38" spans="1:12">
      <c r="A38" s="24"/>
      <c r="B38" s="373"/>
      <c r="C38" s="372"/>
      <c r="D38" s="471" t="s">
        <v>39</v>
      </c>
      <c r="E38" s="472"/>
      <c r="F38" s="65">
        <v>0</v>
      </c>
      <c r="G38" s="65">
        <v>0</v>
      </c>
      <c r="H38" s="65">
        <v>0</v>
      </c>
      <c r="I38" s="65">
        <v>0</v>
      </c>
      <c r="J38" s="156" t="b">
        <f>ABS(SUMIF('(2-2) 재직자 명부'!I:I,4,'(2-2) 재직자 명부'!G:G)-I38)&lt;1</f>
        <v>0</v>
      </c>
      <c r="K38" s="488"/>
      <c r="L38" s="489"/>
    </row>
    <row r="39" spans="1:12" ht="21" customHeight="1" thickBot="1">
      <c r="A39" s="24"/>
      <c r="B39" s="374"/>
      <c r="C39" s="375"/>
      <c r="D39" s="366" t="s">
        <v>40</v>
      </c>
      <c r="E39" s="367"/>
      <c r="F39" s="31">
        <f>SUM(F36:F38)</f>
        <v>0</v>
      </c>
      <c r="G39" s="31">
        <f>SUM(G36:G38)</f>
        <v>0</v>
      </c>
      <c r="H39" s="31">
        <f>SUM(H36:H38)</f>
        <v>0</v>
      </c>
      <c r="I39" s="31">
        <f>SUM(I36:I38)</f>
        <v>0</v>
      </c>
      <c r="J39" s="175" t="b">
        <f>ABS(SUM('(2-2) 재직자 명부'!G:G)-I39)&lt;1</f>
        <v>0</v>
      </c>
      <c r="K39" s="490"/>
      <c r="L39" s="491"/>
    </row>
    <row r="40" spans="1:12" ht="7.5" customHeight="1" thickBot="1">
      <c r="A40" s="24"/>
      <c r="B40" s="24"/>
      <c r="C40" s="24"/>
      <c r="D40" s="32"/>
      <c r="E40" s="32"/>
      <c r="F40" s="33"/>
      <c r="G40" s="33"/>
      <c r="H40" s="33"/>
      <c r="I40" s="33"/>
      <c r="J40" s="151"/>
      <c r="K40" s="27"/>
      <c r="L40" s="27"/>
    </row>
    <row r="41" spans="1:12" ht="30" customHeight="1">
      <c r="A41" s="24"/>
      <c r="B41" s="546" t="s">
        <v>145</v>
      </c>
      <c r="C41" s="549" t="s">
        <v>135</v>
      </c>
      <c r="D41" s="492" t="s">
        <v>147</v>
      </c>
      <c r="E41" s="555"/>
      <c r="F41" s="98">
        <v>0</v>
      </c>
      <c r="G41" s="98">
        <v>0</v>
      </c>
      <c r="H41" s="98">
        <v>0</v>
      </c>
      <c r="I41" s="98">
        <v>6789774140</v>
      </c>
      <c r="J41" s="154" t="b">
        <f>ABS(SUMIF('(2-3) 퇴직자 및 DC전환자 명부'!I:I,1,'(2-3) 퇴직자 및 DC전환자 명부'!G:G)-I41)&lt;1</f>
        <v>0</v>
      </c>
      <c r="K41" s="492" t="s">
        <v>171</v>
      </c>
      <c r="L41" s="493"/>
    </row>
    <row r="42" spans="1:12" ht="30" customHeight="1">
      <c r="A42" s="24"/>
      <c r="B42" s="462"/>
      <c r="C42" s="550"/>
      <c r="D42" s="552" t="s">
        <v>148</v>
      </c>
      <c r="E42" s="470"/>
      <c r="F42" s="99">
        <v>0</v>
      </c>
      <c r="G42" s="99">
        <v>0</v>
      </c>
      <c r="H42" s="99">
        <v>0</v>
      </c>
      <c r="I42" s="99">
        <v>691876810</v>
      </c>
      <c r="J42" s="145" t="b">
        <f>ABS((K44+L44)-I42)&lt;1</f>
        <v>0</v>
      </c>
      <c r="K42" s="552" t="s">
        <v>172</v>
      </c>
      <c r="L42" s="553"/>
    </row>
    <row r="43" spans="1:12" ht="30" customHeight="1">
      <c r="A43" s="24"/>
      <c r="B43" s="462"/>
      <c r="C43" s="550"/>
      <c r="D43" s="369" t="s">
        <v>149</v>
      </c>
      <c r="E43" s="547"/>
      <c r="F43" s="97">
        <v>0</v>
      </c>
      <c r="G43" s="97">
        <v>0</v>
      </c>
      <c r="H43" s="97">
        <v>0</v>
      </c>
      <c r="I43" s="97">
        <v>0</v>
      </c>
      <c r="J43" s="145" t="b">
        <f>ABS(SUMIF('(2-3) 퇴직자 및 DC전환자 명부'!I:I,2,'(2-3) 퇴직자 및 DC전환자 명부'!G:G)-I43)&lt;1</f>
        <v>1</v>
      </c>
      <c r="K43" s="369" t="s">
        <v>173</v>
      </c>
      <c r="L43" s="554"/>
    </row>
    <row r="44" spans="1:12" ht="19.5" customHeight="1">
      <c r="A44" s="24"/>
      <c r="B44" s="462"/>
      <c r="C44" s="551"/>
      <c r="D44" s="404" t="s">
        <v>150</v>
      </c>
      <c r="E44" s="339"/>
      <c r="F44" s="100">
        <f>SUM(F41:F43)</f>
        <v>0</v>
      </c>
      <c r="G44" s="100">
        <f>SUM(G41:G43)</f>
        <v>0</v>
      </c>
      <c r="H44" s="100">
        <f>SUM(H41:H43)</f>
        <v>0</v>
      </c>
      <c r="I44" s="100">
        <f>SUM(I41:I43)</f>
        <v>7481650950</v>
      </c>
      <c r="J44" s="153" t="b">
        <f>ABS((SUM('(2-3) 퇴직자 및 DC전환자 명부'!G:G)+I42)-I44)&lt;1</f>
        <v>1</v>
      </c>
      <c r="K44" s="251">
        <f>SUMIFS('(2-2) 재직자 명부'!K:K,'(2-2) 재직자 명부'!J:J,"&gt;10000000",'(2-2) 재직자 명부'!J:J,"&gt;"&amp;LEFT(I25,4)&amp;"0000")</f>
        <v>0</v>
      </c>
      <c r="L44" s="160">
        <f>SUMIFS('(2-2) 재직자 명부'!K:K,'(2-2) 재직자 명부'!J:J,"&lt;10000000",'(2-2) 재직자 명부'!J:J,"&gt;="&amp;DATE(LEFT(I25,4),1,1))</f>
        <v>0</v>
      </c>
    </row>
    <row r="45" spans="1:12" ht="21.75" customHeight="1">
      <c r="A45" s="24"/>
      <c r="B45" s="462"/>
      <c r="C45" s="464" t="s">
        <v>136</v>
      </c>
      <c r="D45" s="289" t="s">
        <v>151</v>
      </c>
      <c r="E45" s="368"/>
      <c r="F45" s="139">
        <v>0</v>
      </c>
      <c r="G45" s="139">
        <v>0</v>
      </c>
      <c r="H45" s="139">
        <v>0</v>
      </c>
      <c r="I45" s="139">
        <v>0</v>
      </c>
      <c r="J45" s="144" t="b">
        <f>ABS(SUMIF('(2-4) 추가 명부'!J:J,1,'(2-4) 추가 명부'!G:G)-I45)&lt;1</f>
        <v>1</v>
      </c>
      <c r="K45" s="289" t="s">
        <v>174</v>
      </c>
      <c r="L45" s="290"/>
    </row>
    <row r="46" spans="1:12" ht="22.5" customHeight="1">
      <c r="A46" s="24"/>
      <c r="B46" s="462"/>
      <c r="C46" s="550"/>
      <c r="D46" s="369" t="s">
        <v>152</v>
      </c>
      <c r="E46" s="547"/>
      <c r="F46" s="140">
        <v>0</v>
      </c>
      <c r="G46" s="140">
        <v>0</v>
      </c>
      <c r="H46" s="140">
        <v>0</v>
      </c>
      <c r="I46" s="140">
        <v>79296260</v>
      </c>
      <c r="J46" s="152" t="b">
        <f>ABS(SUMIF('(2-4) 추가 명부'!J:J,2,'(2-4) 추가 명부'!G:G)-I46)&lt;1</f>
        <v>0</v>
      </c>
      <c r="K46" s="293"/>
      <c r="L46" s="294"/>
    </row>
    <row r="47" spans="1:12" ht="19.5" customHeight="1">
      <c r="A47" s="24"/>
      <c r="B47" s="462"/>
      <c r="C47" s="551"/>
      <c r="D47" s="404" t="s">
        <v>153</v>
      </c>
      <c r="E47" s="548"/>
      <c r="F47" s="100">
        <f>F45-F46</f>
        <v>0</v>
      </c>
      <c r="G47" s="100">
        <f>G45-G46</f>
        <v>0</v>
      </c>
      <c r="H47" s="100">
        <f>H45-H46</f>
        <v>0</v>
      </c>
      <c r="I47" s="100">
        <f>I45-I46</f>
        <v>-79296260</v>
      </c>
      <c r="J47" s="153" t="b">
        <f>ABS((SUMIF('(2-4) 추가 명부'!J:J,1,'(2-4) 추가 명부'!G:G)-SUMIF('(2-4) 추가 명부'!J:J,2,'(2-4) 추가 명부'!G:G))-I47)&lt;1</f>
        <v>0</v>
      </c>
      <c r="K47" s="147"/>
      <c r="L47" s="148"/>
    </row>
    <row r="48" spans="1:12" ht="24" customHeight="1">
      <c r="A48" s="24"/>
      <c r="B48" s="462"/>
      <c r="C48" s="464" t="s">
        <v>137</v>
      </c>
      <c r="D48" s="539" t="s">
        <v>154</v>
      </c>
      <c r="E48" s="540"/>
      <c r="F48" s="34">
        <v>0</v>
      </c>
      <c r="G48" s="34">
        <v>0</v>
      </c>
      <c r="H48" s="34">
        <v>0</v>
      </c>
      <c r="I48" s="34">
        <v>0</v>
      </c>
      <c r="J48" s="144" t="b">
        <f>ABS(SUMIF('(2-4) 추가 명부'!J:J,3,'(2-4) 추가 명부'!G:G)-I48)&lt;1</f>
        <v>1</v>
      </c>
      <c r="K48" s="289" t="s">
        <v>175</v>
      </c>
      <c r="L48" s="290"/>
    </row>
    <row r="49" spans="1:12" ht="21.75" customHeight="1">
      <c r="A49" s="24"/>
      <c r="B49" s="462"/>
      <c r="C49" s="550"/>
      <c r="D49" s="369" t="s">
        <v>155</v>
      </c>
      <c r="E49" s="370"/>
      <c r="F49" s="101">
        <v>0</v>
      </c>
      <c r="G49" s="101">
        <v>0</v>
      </c>
      <c r="H49" s="101">
        <v>0</v>
      </c>
      <c r="I49" s="101">
        <v>0</v>
      </c>
      <c r="J49" s="152" t="b">
        <f>ABS(SUMIF('(2-4) 추가 명부'!J:J,4,'(2-4) 추가 명부'!G:G)-I49)&lt;1</f>
        <v>1</v>
      </c>
      <c r="K49" s="293"/>
      <c r="L49" s="294"/>
    </row>
    <row r="50" spans="1:12" ht="21" customHeight="1">
      <c r="A50" s="24"/>
      <c r="B50" s="463"/>
      <c r="C50" s="551"/>
      <c r="D50" s="404" t="s">
        <v>156</v>
      </c>
      <c r="E50" s="548"/>
      <c r="F50" s="100">
        <f>F48-F49</f>
        <v>0</v>
      </c>
      <c r="G50" s="100">
        <f>G48-G49</f>
        <v>0</v>
      </c>
      <c r="H50" s="100">
        <f>H48-H49</f>
        <v>0</v>
      </c>
      <c r="I50" s="100">
        <f>I48-I49</f>
        <v>0</v>
      </c>
      <c r="J50" s="152" t="b">
        <f>ABS((SUMIF('(2-4) 추가 명부'!J:J,3,'(2-4) 추가 명부'!G:G)-SUMIF('(2-4) 추가 명부'!J:J,4,'(2-4) 추가 명부'!G:G))-I50)&lt;1</f>
        <v>1</v>
      </c>
      <c r="K50" s="114"/>
      <c r="L50" s="116"/>
    </row>
    <row r="51" spans="1:12" ht="21" customHeight="1" thickBot="1">
      <c r="A51" s="24"/>
      <c r="B51" s="541" t="s">
        <v>146</v>
      </c>
      <c r="C51" s="542"/>
      <c r="D51" s="542"/>
      <c r="E51" s="543"/>
      <c r="F51" s="35">
        <f>F44-F47-F50</f>
        <v>0</v>
      </c>
      <c r="G51" s="35">
        <f>G44-G47-G50</f>
        <v>0</v>
      </c>
      <c r="H51" s="35">
        <f>H44-H47-H50</f>
        <v>0</v>
      </c>
      <c r="I51" s="35">
        <f>I44-I47-I50</f>
        <v>7560947210</v>
      </c>
      <c r="J51" s="149" t="b">
        <f>ABS((SUM('(2-3) 퇴직자 및 DC전환자 명부'!G:G)+K44)-(SUMIF('(2-4) 추가 명부'!J:J,1,'(2-4) 추가 명부'!G:G)-SUMIF('(2-4) 추가 명부'!J:J,2,'(2-4) 추가 명부'!G:G))-(SUMIF('(2-4) 추가 명부'!J:J,3,'(2-4) 추가 명부'!G:G)-SUMIF('(2-4) 추가 명부'!J:J,4,'(2-4) 추가 명부'!G:G))-I51)&lt;1</f>
        <v>0</v>
      </c>
      <c r="K51" s="149"/>
      <c r="L51" s="150"/>
    </row>
    <row r="52" spans="1:12" ht="6" customHeight="1">
      <c r="A52" s="24"/>
      <c r="B52" s="24"/>
      <c r="C52" s="24"/>
      <c r="D52" s="32"/>
      <c r="E52" s="32"/>
      <c r="F52" s="33"/>
      <c r="G52" s="33"/>
      <c r="H52" s="33"/>
      <c r="I52" s="33"/>
      <c r="J52" s="36"/>
      <c r="K52" s="36"/>
      <c r="L52" s="36"/>
    </row>
    <row r="53" spans="1:12">
      <c r="B53" s="24" t="s">
        <v>43</v>
      </c>
    </row>
    <row r="54" spans="1:12">
      <c r="A54" s="24"/>
      <c r="B54" s="24"/>
      <c r="C54" s="24"/>
      <c r="D54" s="32"/>
      <c r="E54" s="32"/>
      <c r="F54" s="33"/>
      <c r="G54" s="33"/>
      <c r="H54" s="33"/>
      <c r="I54" s="33"/>
      <c r="J54" s="36"/>
      <c r="K54" s="36"/>
      <c r="L54" s="36"/>
    </row>
    <row r="55" spans="1:12" ht="17.25" customHeight="1">
      <c r="B55" s="26" t="s">
        <v>44</v>
      </c>
      <c r="C55" s="24"/>
    </row>
    <row r="56" spans="1:12" ht="9" customHeight="1">
      <c r="B56" s="26"/>
      <c r="C56" s="24"/>
    </row>
    <row r="57" spans="1:12" ht="16.5" customHeight="1">
      <c r="A57" s="26"/>
      <c r="B57" s="24" t="s">
        <v>45</v>
      </c>
      <c r="C57" s="24"/>
    </row>
    <row r="58" spans="1:12" ht="19.2" hidden="1">
      <c r="A58" s="26"/>
      <c r="B58" s="24" t="s">
        <v>46</v>
      </c>
      <c r="C58" s="24"/>
    </row>
    <row r="59" spans="1:12" ht="16.5" customHeight="1">
      <c r="A59" s="26"/>
      <c r="B59" s="141" t="s">
        <v>162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</row>
    <row r="60" spans="1:12" ht="12" customHeight="1" thickBot="1">
      <c r="A60" s="26"/>
      <c r="B60" s="134"/>
      <c r="C60" s="24"/>
      <c r="D60" s="24"/>
      <c r="E60" s="24"/>
      <c r="F60" s="24"/>
      <c r="G60" s="24"/>
      <c r="H60" s="24"/>
      <c r="I60" s="24"/>
      <c r="J60" s="24"/>
      <c r="K60" s="24"/>
      <c r="L60" s="24"/>
    </row>
    <row r="61" spans="1:12" ht="19.2">
      <c r="A61" s="26"/>
      <c r="B61" s="356" t="s">
        <v>102</v>
      </c>
      <c r="C61" s="357"/>
      <c r="D61" s="544" t="s">
        <v>103</v>
      </c>
      <c r="E61" s="545"/>
      <c r="F61" s="545"/>
      <c r="G61" s="545"/>
      <c r="H61" s="545"/>
      <c r="I61" s="545"/>
      <c r="J61" s="327" t="s">
        <v>104</v>
      </c>
      <c r="K61" s="327"/>
      <c r="L61" s="328"/>
    </row>
    <row r="62" spans="1:12" ht="17.25" customHeight="1">
      <c r="A62" s="26"/>
      <c r="B62" s="358"/>
      <c r="C62" s="359"/>
      <c r="D62" s="440" t="s">
        <v>105</v>
      </c>
      <c r="E62" s="441"/>
      <c r="F62" s="267"/>
      <c r="G62" s="267"/>
      <c r="H62" s="267"/>
      <c r="I62" s="267" t="str">
        <f>I25</f>
        <v>251231</v>
      </c>
      <c r="J62" s="500" t="s">
        <v>47</v>
      </c>
      <c r="K62" s="501"/>
      <c r="L62" s="502"/>
    </row>
    <row r="63" spans="1:12" ht="21.9" customHeight="1">
      <c r="A63" s="26"/>
      <c r="B63" s="461" t="s">
        <v>158</v>
      </c>
      <c r="C63" s="112" t="s">
        <v>111</v>
      </c>
      <c r="D63" s="360"/>
      <c r="E63" s="361"/>
      <c r="F63" s="39">
        <v>0</v>
      </c>
      <c r="G63" s="39">
        <v>0</v>
      </c>
      <c r="H63" s="39">
        <v>0</v>
      </c>
      <c r="I63" s="39">
        <v>0</v>
      </c>
      <c r="J63" s="109" t="str">
        <f>LEFT(I62,4)&amp;"년 기초 잔액"</f>
        <v>2512년 기초 잔액</v>
      </c>
      <c r="K63" s="110"/>
      <c r="L63" s="111"/>
    </row>
    <row r="64" spans="1:12" ht="21.9" customHeight="1">
      <c r="A64" s="24"/>
      <c r="B64" s="462"/>
      <c r="C64" s="113" t="s">
        <v>121</v>
      </c>
      <c r="D64" s="362"/>
      <c r="E64" s="361"/>
      <c r="F64" s="117">
        <v>0</v>
      </c>
      <c r="G64" s="117">
        <v>0</v>
      </c>
      <c r="H64" s="117">
        <v>0</v>
      </c>
      <c r="I64" s="117">
        <v>0</v>
      </c>
      <c r="J64" s="363" t="s">
        <v>138</v>
      </c>
      <c r="K64" s="364"/>
      <c r="L64" s="365"/>
    </row>
    <row r="65" spans="1:12" ht="21.9" customHeight="1">
      <c r="A65" s="24"/>
      <c r="B65" s="462"/>
      <c r="C65" s="464" t="s">
        <v>106</v>
      </c>
      <c r="D65" s="473" t="s">
        <v>122</v>
      </c>
      <c r="E65" s="474"/>
      <c r="F65" s="127">
        <v>0</v>
      </c>
      <c r="G65" s="127">
        <v>0</v>
      </c>
      <c r="H65" s="127">
        <v>0</v>
      </c>
      <c r="I65" s="127">
        <v>0</v>
      </c>
      <c r="J65" s="300" t="s">
        <v>140</v>
      </c>
      <c r="K65" s="301"/>
      <c r="L65" s="302"/>
    </row>
    <row r="66" spans="1:12" ht="21.9" customHeight="1">
      <c r="A66" s="24"/>
      <c r="B66" s="462"/>
      <c r="C66" s="467"/>
      <c r="D66" s="475" t="s">
        <v>123</v>
      </c>
      <c r="E66" s="476"/>
      <c r="F66" s="128">
        <v>0</v>
      </c>
      <c r="G66" s="129">
        <v>0</v>
      </c>
      <c r="H66" s="129">
        <v>0</v>
      </c>
      <c r="I66" s="128">
        <v>0</v>
      </c>
      <c r="J66" s="303"/>
      <c r="K66" s="304"/>
      <c r="L66" s="305"/>
    </row>
    <row r="67" spans="1:12" ht="21.9" customHeight="1">
      <c r="A67" s="24"/>
      <c r="B67" s="462"/>
      <c r="C67" s="467"/>
      <c r="D67" s="477" t="s">
        <v>124</v>
      </c>
      <c r="E67" s="478"/>
      <c r="F67" s="130">
        <v>0</v>
      </c>
      <c r="G67" s="131">
        <v>0</v>
      </c>
      <c r="H67" s="131">
        <v>0</v>
      </c>
      <c r="I67" s="131">
        <v>0</v>
      </c>
      <c r="J67" s="306"/>
      <c r="K67" s="307"/>
      <c r="L67" s="308"/>
    </row>
    <row r="68" spans="1:12" ht="21.9" customHeight="1">
      <c r="A68" s="24"/>
      <c r="B68" s="462"/>
      <c r="C68" s="468"/>
      <c r="D68" s="483" t="s">
        <v>125</v>
      </c>
      <c r="E68" s="478"/>
      <c r="F68" s="37">
        <f>SUM(F65:F67)</f>
        <v>0</v>
      </c>
      <c r="G68" s="37">
        <f>SUM(G65:G67)</f>
        <v>0</v>
      </c>
      <c r="H68" s="37">
        <f>SUM(H65:H67)</f>
        <v>0</v>
      </c>
      <c r="I68" s="37">
        <f>SUM(I65:I67)</f>
        <v>0</v>
      </c>
      <c r="J68" s="114"/>
      <c r="K68" s="115"/>
      <c r="L68" s="116"/>
    </row>
    <row r="69" spans="1:12" ht="21.9" customHeight="1">
      <c r="A69" s="24"/>
      <c r="B69" s="462"/>
      <c r="C69" s="331" t="s">
        <v>107</v>
      </c>
      <c r="D69" s="336" t="s">
        <v>126</v>
      </c>
      <c r="E69" s="355"/>
      <c r="F69" s="119">
        <v>0</v>
      </c>
      <c r="G69" s="119">
        <v>0</v>
      </c>
      <c r="H69" s="119">
        <v>0</v>
      </c>
      <c r="I69" s="119">
        <v>0</v>
      </c>
      <c r="J69" s="300" t="s">
        <v>141</v>
      </c>
      <c r="K69" s="301"/>
      <c r="L69" s="302"/>
    </row>
    <row r="70" spans="1:12" ht="21.9" customHeight="1">
      <c r="A70" s="24"/>
      <c r="B70" s="462"/>
      <c r="C70" s="332"/>
      <c r="D70" s="291" t="s">
        <v>127</v>
      </c>
      <c r="E70" s="354"/>
      <c r="F70" s="120">
        <v>0</v>
      </c>
      <c r="G70" s="120">
        <v>0</v>
      </c>
      <c r="H70" s="120">
        <v>0</v>
      </c>
      <c r="I70" s="120">
        <v>0</v>
      </c>
      <c r="J70" s="306"/>
      <c r="K70" s="307"/>
      <c r="L70" s="308"/>
    </row>
    <row r="71" spans="1:12" ht="21.9" customHeight="1">
      <c r="A71" s="24"/>
      <c r="B71" s="462"/>
      <c r="C71" s="333"/>
      <c r="D71" s="338" t="s">
        <v>128</v>
      </c>
      <c r="E71" s="339"/>
      <c r="F71" s="38">
        <f>F69-F70</f>
        <v>0</v>
      </c>
      <c r="G71" s="38">
        <f>G69-G70</f>
        <v>0</v>
      </c>
      <c r="H71" s="38">
        <f>H69-H70</f>
        <v>0</v>
      </c>
      <c r="I71" s="38">
        <f>I69-I70</f>
        <v>0</v>
      </c>
      <c r="J71" s="114"/>
      <c r="K71" s="115"/>
      <c r="L71" s="116"/>
    </row>
    <row r="72" spans="1:12" ht="21.9" customHeight="1">
      <c r="A72" s="24"/>
      <c r="B72" s="462"/>
      <c r="C72" s="464" t="s">
        <v>157</v>
      </c>
      <c r="D72" s="336" t="s">
        <v>129</v>
      </c>
      <c r="E72" s="337"/>
      <c r="F72" s="133">
        <v>0</v>
      </c>
      <c r="G72" s="133">
        <v>0</v>
      </c>
      <c r="H72" s="133">
        <v>0</v>
      </c>
      <c r="I72" s="133">
        <v>0</v>
      </c>
      <c r="J72" s="300" t="s">
        <v>142</v>
      </c>
      <c r="K72" s="301"/>
      <c r="L72" s="302"/>
    </row>
    <row r="73" spans="1:12" ht="21.9" customHeight="1">
      <c r="A73" s="24"/>
      <c r="B73" s="462"/>
      <c r="C73" s="465"/>
      <c r="D73" s="352" t="s">
        <v>130</v>
      </c>
      <c r="E73" s="353"/>
      <c r="F73" s="132">
        <v>0</v>
      </c>
      <c r="G73" s="132">
        <v>0</v>
      </c>
      <c r="H73" s="132">
        <v>0</v>
      </c>
      <c r="I73" s="132">
        <v>0</v>
      </c>
      <c r="J73" s="306"/>
      <c r="K73" s="307"/>
      <c r="L73" s="308"/>
    </row>
    <row r="74" spans="1:12" ht="21.9" customHeight="1">
      <c r="A74" s="24"/>
      <c r="B74" s="462"/>
      <c r="C74" s="466"/>
      <c r="D74" s="338" t="s">
        <v>131</v>
      </c>
      <c r="E74" s="339"/>
      <c r="F74" s="38">
        <f>F72-F73</f>
        <v>0</v>
      </c>
      <c r="G74" s="38">
        <f>G72-G73</f>
        <v>0</v>
      </c>
      <c r="H74" s="38">
        <f>H72-H73</f>
        <v>0</v>
      </c>
      <c r="I74" s="38">
        <f>I72-I73</f>
        <v>0</v>
      </c>
      <c r="J74" s="114"/>
      <c r="K74" s="115"/>
      <c r="L74" s="116"/>
    </row>
    <row r="75" spans="1:12" ht="21.9" customHeight="1">
      <c r="A75" s="24"/>
      <c r="B75" s="462"/>
      <c r="C75" s="331" t="s">
        <v>109</v>
      </c>
      <c r="D75" s="479" t="s">
        <v>132</v>
      </c>
      <c r="E75" s="480"/>
      <c r="F75" s="121">
        <v>0</v>
      </c>
      <c r="G75" s="121">
        <v>0</v>
      </c>
      <c r="H75" s="121">
        <v>0</v>
      </c>
      <c r="I75" s="119">
        <v>0</v>
      </c>
      <c r="J75" s="300" t="s">
        <v>143</v>
      </c>
      <c r="K75" s="301"/>
      <c r="L75" s="302"/>
    </row>
    <row r="76" spans="1:12" ht="21.9" customHeight="1">
      <c r="A76" s="24"/>
      <c r="B76" s="462"/>
      <c r="C76" s="332"/>
      <c r="D76" s="481" t="s">
        <v>133</v>
      </c>
      <c r="E76" s="482"/>
      <c r="F76" s="120">
        <v>0</v>
      </c>
      <c r="G76" s="120">
        <v>0</v>
      </c>
      <c r="H76" s="120">
        <v>0</v>
      </c>
      <c r="I76" s="122">
        <v>0</v>
      </c>
      <c r="J76" s="303"/>
      <c r="K76" s="304"/>
      <c r="L76" s="305"/>
    </row>
    <row r="77" spans="1:12" ht="21.9" customHeight="1">
      <c r="A77" s="24"/>
      <c r="B77" s="462"/>
      <c r="C77" s="333"/>
      <c r="D77" s="350" t="s">
        <v>134</v>
      </c>
      <c r="E77" s="351"/>
      <c r="F77" s="37">
        <f>F75-F76</f>
        <v>0</v>
      </c>
      <c r="G77" s="37">
        <f>G75-G76</f>
        <v>0</v>
      </c>
      <c r="H77" s="37">
        <f>H75-H76</f>
        <v>0</v>
      </c>
      <c r="I77" s="38">
        <f>I75-I76</f>
        <v>0</v>
      </c>
      <c r="J77" s="306"/>
      <c r="K77" s="307"/>
      <c r="L77" s="308"/>
    </row>
    <row r="78" spans="1:12" ht="21.9" customHeight="1">
      <c r="A78" s="24"/>
      <c r="B78" s="462"/>
      <c r="C78" s="118" t="s">
        <v>159</v>
      </c>
      <c r="D78" s="350" t="s">
        <v>110</v>
      </c>
      <c r="E78" s="351"/>
      <c r="F78" s="37">
        <f>F63+F64-F68+F71+F74+F77</f>
        <v>0</v>
      </c>
      <c r="G78" s="37">
        <f>G63+G64-G68+G71+G74+G77</f>
        <v>0</v>
      </c>
      <c r="H78" s="37">
        <f>H63+H64-H68+H71+H74+H77</f>
        <v>0</v>
      </c>
      <c r="I78" s="37">
        <f>I63+I64-I68+I71+I74+I77</f>
        <v>0</v>
      </c>
      <c r="J78" s="103"/>
      <c r="K78" s="104"/>
      <c r="L78" s="105"/>
    </row>
    <row r="79" spans="1:12" ht="21.9" customHeight="1">
      <c r="A79" s="24"/>
      <c r="B79" s="462"/>
      <c r="C79" s="331" t="s">
        <v>160</v>
      </c>
      <c r="D79" s="376" t="s">
        <v>48</v>
      </c>
      <c r="E79" s="354"/>
      <c r="F79" s="132">
        <v>0</v>
      </c>
      <c r="G79" s="132">
        <v>0</v>
      </c>
      <c r="H79" s="132">
        <v>0</v>
      </c>
      <c r="I79" s="132">
        <v>0</v>
      </c>
      <c r="J79" s="300" t="s">
        <v>49</v>
      </c>
      <c r="K79" s="301"/>
      <c r="L79" s="302"/>
    </row>
    <row r="80" spans="1:12" ht="21.9" customHeight="1">
      <c r="A80" s="24"/>
      <c r="B80" s="462"/>
      <c r="C80" s="332"/>
      <c r="D80" s="469" t="s">
        <v>50</v>
      </c>
      <c r="E80" s="470"/>
      <c r="F80" s="129">
        <v>0</v>
      </c>
      <c r="G80" s="129">
        <v>0</v>
      </c>
      <c r="H80" s="129">
        <v>0</v>
      </c>
      <c r="I80" s="128">
        <v>0</v>
      </c>
      <c r="J80" s="303"/>
      <c r="K80" s="304"/>
      <c r="L80" s="305"/>
    </row>
    <row r="81" spans="1:12" ht="21.9" customHeight="1">
      <c r="A81" s="24"/>
      <c r="B81" s="462"/>
      <c r="C81" s="332"/>
      <c r="D81" s="471" t="s">
        <v>51</v>
      </c>
      <c r="E81" s="472"/>
      <c r="F81" s="131">
        <v>0</v>
      </c>
      <c r="G81" s="131">
        <v>0</v>
      </c>
      <c r="H81" s="131">
        <v>0</v>
      </c>
      <c r="I81" s="131">
        <v>0</v>
      </c>
      <c r="J81" s="306"/>
      <c r="K81" s="307"/>
      <c r="L81" s="308"/>
    </row>
    <row r="82" spans="1:12" ht="21.9" customHeight="1">
      <c r="A82" s="24"/>
      <c r="B82" s="462"/>
      <c r="C82" s="333"/>
      <c r="D82" s="348" t="s">
        <v>108</v>
      </c>
      <c r="E82" s="349"/>
      <c r="F82" s="37">
        <f>SUM(F78:F80)</f>
        <v>0</v>
      </c>
      <c r="G82" s="37">
        <f>SUM(G78:G80)</f>
        <v>0</v>
      </c>
      <c r="H82" s="37">
        <f>SUM(H78:H80)</f>
        <v>0</v>
      </c>
      <c r="I82" s="38">
        <f>SUM(I79:I81)</f>
        <v>0</v>
      </c>
      <c r="J82" s="309"/>
      <c r="K82" s="310"/>
      <c r="L82" s="311"/>
    </row>
    <row r="83" spans="1:12" ht="21.9" customHeight="1">
      <c r="A83" s="24"/>
      <c r="B83" s="463"/>
      <c r="C83" s="126" t="s">
        <v>119</v>
      </c>
      <c r="D83" s="444" t="s">
        <v>120</v>
      </c>
      <c r="E83" s="445"/>
      <c r="F83" s="124">
        <f>F78-F82</f>
        <v>0</v>
      </c>
      <c r="G83" s="124">
        <f>G78-G82</f>
        <v>0</v>
      </c>
      <c r="H83" s="124">
        <f>H78-H82</f>
        <v>0</v>
      </c>
      <c r="I83" s="125">
        <f>I78-I82</f>
        <v>0</v>
      </c>
      <c r="J83" s="312" t="s">
        <v>161</v>
      </c>
      <c r="K83" s="313"/>
      <c r="L83" s="314"/>
    </row>
    <row r="84" spans="1:12" ht="21.9" customHeight="1">
      <c r="A84" s="24"/>
      <c r="B84" s="344" t="s">
        <v>112</v>
      </c>
      <c r="C84" s="345"/>
      <c r="D84" s="340" t="s">
        <v>114</v>
      </c>
      <c r="E84" s="341"/>
      <c r="F84" s="121">
        <v>0</v>
      </c>
      <c r="G84" s="121">
        <v>0</v>
      </c>
      <c r="H84" s="121">
        <v>0</v>
      </c>
      <c r="I84" s="119">
        <v>0</v>
      </c>
      <c r="J84" s="106" t="s">
        <v>113</v>
      </c>
      <c r="K84" s="107"/>
      <c r="L84" s="108"/>
    </row>
    <row r="85" spans="1:12" ht="21.9" customHeight="1" thickBot="1">
      <c r="A85" s="24"/>
      <c r="B85" s="346"/>
      <c r="C85" s="347"/>
      <c r="D85" s="342" t="s">
        <v>115</v>
      </c>
      <c r="E85" s="343"/>
      <c r="F85" s="123" t="s">
        <v>117</v>
      </c>
      <c r="G85" s="123" t="s">
        <v>117</v>
      </c>
      <c r="H85" s="123" t="s">
        <v>117</v>
      </c>
      <c r="I85" s="123" t="s">
        <v>118</v>
      </c>
      <c r="J85" s="324" t="s">
        <v>116</v>
      </c>
      <c r="K85" s="325"/>
      <c r="L85" s="326"/>
    </row>
    <row r="86" spans="1:12" ht="7.5" hidden="1" customHeight="1" thickBot="1">
      <c r="A86" s="24"/>
    </row>
    <row r="87" spans="1:12" hidden="1">
      <c r="A87" s="24"/>
      <c r="B87" s="455" t="s">
        <v>52</v>
      </c>
      <c r="C87" s="456"/>
      <c r="D87" s="459" t="s">
        <v>53</v>
      </c>
      <c r="E87" s="460"/>
      <c r="F87" s="40">
        <v>0</v>
      </c>
      <c r="G87" s="40">
        <v>0</v>
      </c>
      <c r="H87" s="40">
        <v>0</v>
      </c>
      <c r="I87" s="40">
        <v>0</v>
      </c>
      <c r="J87" s="494" t="s">
        <v>54</v>
      </c>
      <c r="K87" s="495"/>
      <c r="L87" s="496"/>
    </row>
    <row r="88" spans="1:12" hidden="1">
      <c r="A88" s="24"/>
      <c r="B88" s="448"/>
      <c r="C88" s="449"/>
      <c r="D88" s="440" t="s">
        <v>13</v>
      </c>
      <c r="E88" s="441"/>
      <c r="F88" s="41">
        <v>0</v>
      </c>
      <c r="G88" s="41">
        <v>0</v>
      </c>
      <c r="H88" s="41">
        <v>0</v>
      </c>
      <c r="I88" s="41">
        <v>0</v>
      </c>
      <c r="J88" s="303"/>
      <c r="K88" s="322"/>
      <c r="L88" s="323"/>
    </row>
    <row r="89" spans="1:12" hidden="1">
      <c r="A89" s="24"/>
      <c r="B89" s="450"/>
      <c r="C89" s="449"/>
      <c r="D89" s="440" t="s">
        <v>55</v>
      </c>
      <c r="E89" s="441"/>
      <c r="F89" s="42">
        <v>0</v>
      </c>
      <c r="G89" s="42">
        <v>0</v>
      </c>
      <c r="H89" s="42">
        <v>0</v>
      </c>
      <c r="I89" s="42">
        <v>0</v>
      </c>
      <c r="J89" s="321"/>
      <c r="K89" s="322"/>
      <c r="L89" s="323"/>
    </row>
    <row r="90" spans="1:12" hidden="1">
      <c r="A90" s="24"/>
      <c r="B90" s="450"/>
      <c r="C90" s="449"/>
      <c r="D90" s="440" t="s">
        <v>14</v>
      </c>
      <c r="E90" s="441"/>
      <c r="F90" s="42">
        <v>0</v>
      </c>
      <c r="G90" s="42">
        <v>0</v>
      </c>
      <c r="H90" s="42">
        <v>0</v>
      </c>
      <c r="I90" s="42">
        <v>0</v>
      </c>
      <c r="J90" s="321"/>
      <c r="K90" s="322"/>
      <c r="L90" s="323"/>
    </row>
    <row r="91" spans="1:12" hidden="1">
      <c r="A91" s="24"/>
      <c r="B91" s="450"/>
      <c r="C91" s="449"/>
      <c r="D91" s="440" t="s">
        <v>15</v>
      </c>
      <c r="E91" s="441"/>
      <c r="F91" s="42">
        <v>0</v>
      </c>
      <c r="G91" s="42">
        <v>0</v>
      </c>
      <c r="H91" s="42">
        <v>0</v>
      </c>
      <c r="I91" s="42">
        <v>0</v>
      </c>
      <c r="J91" s="321"/>
      <c r="K91" s="322"/>
      <c r="L91" s="323"/>
    </row>
    <row r="92" spans="1:12" hidden="1">
      <c r="A92" s="24"/>
      <c r="B92" s="457"/>
      <c r="C92" s="458"/>
      <c r="D92" s="446" t="s">
        <v>12</v>
      </c>
      <c r="E92" s="447"/>
      <c r="F92" s="37">
        <f>SUM(F87:F91)</f>
        <v>0</v>
      </c>
      <c r="G92" s="37">
        <f>SUM(G87:G91)</f>
        <v>0</v>
      </c>
      <c r="H92" s="37">
        <f>SUM(H87:H91)</f>
        <v>0</v>
      </c>
      <c r="I92" s="37">
        <f>SUM(I87:I91)</f>
        <v>0</v>
      </c>
      <c r="J92" s="497"/>
      <c r="K92" s="498"/>
      <c r="L92" s="499"/>
    </row>
    <row r="93" spans="1:12" hidden="1">
      <c r="A93" s="24"/>
      <c r="B93" s="448" t="s">
        <v>56</v>
      </c>
      <c r="C93" s="449"/>
      <c r="D93" s="453" t="s">
        <v>16</v>
      </c>
      <c r="E93" s="454"/>
      <c r="F93" s="43">
        <f t="shared" ref="F93:I97" si="0">IF(F$92=0,0,F87/F$92)</f>
        <v>0</v>
      </c>
      <c r="G93" s="43">
        <f t="shared" si="0"/>
        <v>0</v>
      </c>
      <c r="H93" s="43">
        <f t="shared" si="0"/>
        <v>0</v>
      </c>
      <c r="I93" s="43">
        <f t="shared" si="0"/>
        <v>0</v>
      </c>
      <c r="J93" s="321" t="s">
        <v>57</v>
      </c>
      <c r="K93" s="322"/>
      <c r="L93" s="323"/>
    </row>
    <row r="94" spans="1:12" hidden="1">
      <c r="A94" s="24"/>
      <c r="B94" s="448"/>
      <c r="C94" s="449"/>
      <c r="D94" s="440" t="s">
        <v>13</v>
      </c>
      <c r="E94" s="441"/>
      <c r="F94" s="43">
        <f t="shared" si="0"/>
        <v>0</v>
      </c>
      <c r="G94" s="43">
        <f t="shared" si="0"/>
        <v>0</v>
      </c>
      <c r="H94" s="43">
        <f t="shared" si="0"/>
        <v>0</v>
      </c>
      <c r="I94" s="43">
        <f t="shared" si="0"/>
        <v>0</v>
      </c>
      <c r="J94" s="321"/>
      <c r="K94" s="322"/>
      <c r="L94" s="323"/>
    </row>
    <row r="95" spans="1:12" hidden="1">
      <c r="A95" s="24"/>
      <c r="B95" s="450"/>
      <c r="C95" s="449"/>
      <c r="D95" s="440" t="s">
        <v>58</v>
      </c>
      <c r="E95" s="441"/>
      <c r="F95" s="43">
        <f t="shared" si="0"/>
        <v>0</v>
      </c>
      <c r="G95" s="43">
        <f t="shared" si="0"/>
        <v>0</v>
      </c>
      <c r="H95" s="43">
        <f t="shared" si="0"/>
        <v>0</v>
      </c>
      <c r="I95" s="43">
        <f t="shared" si="0"/>
        <v>0</v>
      </c>
      <c r="J95" s="321"/>
      <c r="K95" s="322"/>
      <c r="L95" s="323"/>
    </row>
    <row r="96" spans="1:12" hidden="1">
      <c r="A96" s="24"/>
      <c r="B96" s="450"/>
      <c r="C96" s="449"/>
      <c r="D96" s="440" t="s">
        <v>59</v>
      </c>
      <c r="E96" s="441"/>
      <c r="F96" s="43">
        <f t="shared" si="0"/>
        <v>0</v>
      </c>
      <c r="G96" s="43">
        <f t="shared" si="0"/>
        <v>0</v>
      </c>
      <c r="H96" s="43">
        <f t="shared" si="0"/>
        <v>0</v>
      </c>
      <c r="I96" s="43">
        <f t="shared" si="0"/>
        <v>0</v>
      </c>
      <c r="J96" s="321"/>
      <c r="K96" s="322"/>
      <c r="L96" s="323"/>
    </row>
    <row r="97" spans="1:12" hidden="1">
      <c r="A97" s="24"/>
      <c r="B97" s="450"/>
      <c r="C97" s="449"/>
      <c r="D97" s="440" t="s">
        <v>15</v>
      </c>
      <c r="E97" s="441"/>
      <c r="F97" s="43">
        <f t="shared" si="0"/>
        <v>0</v>
      </c>
      <c r="G97" s="43">
        <f t="shared" si="0"/>
        <v>0</v>
      </c>
      <c r="H97" s="43">
        <f t="shared" si="0"/>
        <v>0</v>
      </c>
      <c r="I97" s="43">
        <f t="shared" si="0"/>
        <v>0</v>
      </c>
      <c r="J97" s="321"/>
      <c r="K97" s="322"/>
      <c r="L97" s="323"/>
    </row>
    <row r="98" spans="1:12" ht="18" hidden="1" thickBot="1">
      <c r="A98" s="24"/>
      <c r="B98" s="451"/>
      <c r="C98" s="452"/>
      <c r="D98" s="442" t="s">
        <v>12</v>
      </c>
      <c r="E98" s="443"/>
      <c r="F98" s="44">
        <f>SUM(F93:F97)</f>
        <v>0</v>
      </c>
      <c r="G98" s="44">
        <f>SUM(G93:G97)</f>
        <v>0</v>
      </c>
      <c r="H98" s="44">
        <f>SUM(H93:H97)</f>
        <v>0</v>
      </c>
      <c r="I98" s="44">
        <f>SUM(I93:I97)</f>
        <v>0</v>
      </c>
      <c r="J98" s="324"/>
      <c r="K98" s="325"/>
      <c r="L98" s="326"/>
    </row>
    <row r="99" spans="1:12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</row>
    <row r="100" spans="1:12" ht="19.2">
      <c r="B100" s="26" t="s">
        <v>60</v>
      </c>
      <c r="C100" s="24"/>
      <c r="D100" s="24"/>
      <c r="E100" s="24"/>
      <c r="F100" s="24"/>
      <c r="G100" s="24"/>
      <c r="H100" s="24"/>
      <c r="I100" s="173"/>
      <c r="J100" s="174" t="s">
        <v>186</v>
      </c>
      <c r="K100" s="146" t="s">
        <v>199</v>
      </c>
      <c r="L100" s="174" t="s">
        <v>200</v>
      </c>
    </row>
    <row r="101" spans="1:12" ht="12" customHeight="1" thickBot="1">
      <c r="B101" s="26"/>
      <c r="C101" s="24"/>
      <c r="D101" s="24"/>
      <c r="E101" s="24"/>
      <c r="F101" s="24"/>
      <c r="G101" s="24"/>
      <c r="H101" s="24"/>
      <c r="I101" s="173"/>
      <c r="J101" s="174" t="s">
        <v>184</v>
      </c>
      <c r="K101" s="146" t="s">
        <v>163</v>
      </c>
      <c r="L101" s="174" t="s">
        <v>202</v>
      </c>
    </row>
    <row r="102" spans="1:12">
      <c r="A102" s="24"/>
      <c r="B102" s="436" t="s">
        <v>61</v>
      </c>
      <c r="C102" s="327"/>
      <c r="D102" s="327"/>
      <c r="E102" s="327"/>
      <c r="F102" s="287" t="s">
        <v>62</v>
      </c>
      <c r="G102" s="437"/>
      <c r="H102" s="437"/>
      <c r="I102" s="437"/>
      <c r="J102" s="327" t="s">
        <v>63</v>
      </c>
      <c r="K102" s="327"/>
      <c r="L102" s="328"/>
    </row>
    <row r="103" spans="1:12">
      <c r="A103" s="24"/>
      <c r="B103" s="373" t="s">
        <v>64</v>
      </c>
      <c r="C103" s="372"/>
      <c r="D103" s="372"/>
      <c r="E103" s="372"/>
      <c r="F103" s="438">
        <v>60</v>
      </c>
      <c r="G103" s="439"/>
      <c r="H103" s="439"/>
      <c r="I103" s="439"/>
      <c r="J103" s="417" t="s">
        <v>17</v>
      </c>
      <c r="K103" s="417"/>
      <c r="L103" s="418"/>
    </row>
    <row r="104" spans="1:12">
      <c r="A104" s="24"/>
      <c r="B104" s="373" t="s">
        <v>18</v>
      </c>
      <c r="C104" s="372"/>
      <c r="D104" s="372"/>
      <c r="E104" s="372"/>
      <c r="F104" s="329" t="s">
        <v>374</v>
      </c>
      <c r="G104" s="330"/>
      <c r="H104" s="176" t="str">
        <f>IF(F104="YES","적용시작연령","")</f>
        <v/>
      </c>
      <c r="I104" s="246"/>
      <c r="J104" s="417" t="s">
        <v>191</v>
      </c>
      <c r="K104" s="417"/>
      <c r="L104" s="418"/>
    </row>
    <row r="105" spans="1:12" ht="33" customHeight="1">
      <c r="A105" s="24"/>
      <c r="B105" s="434" t="s">
        <v>19</v>
      </c>
      <c r="C105" s="435"/>
      <c r="D105" s="435"/>
      <c r="E105" s="405"/>
      <c r="F105" s="329" t="s">
        <v>374</v>
      </c>
      <c r="G105" s="415"/>
      <c r="H105" s="415"/>
      <c r="I105" s="330"/>
      <c r="J105" s="416" t="s">
        <v>376</v>
      </c>
      <c r="K105" s="417"/>
      <c r="L105" s="418"/>
    </row>
    <row r="106" spans="1:12" ht="20.25" customHeight="1">
      <c r="A106" s="24"/>
      <c r="B106" s="371" t="s">
        <v>20</v>
      </c>
      <c r="C106" s="412"/>
      <c r="D106" s="421" t="s">
        <v>65</v>
      </c>
      <c r="E106" s="421"/>
      <c r="F106" s="422" t="s">
        <v>66</v>
      </c>
      <c r="G106" s="423"/>
      <c r="H106" s="423"/>
      <c r="I106" s="423"/>
      <c r="J106" s="424" t="s">
        <v>67</v>
      </c>
      <c r="K106" s="425"/>
      <c r="L106" s="426"/>
    </row>
    <row r="107" spans="1:12" ht="20.25" customHeight="1">
      <c r="A107" s="24"/>
      <c r="B107" s="371"/>
      <c r="C107" s="412"/>
      <c r="D107" s="430" t="s">
        <v>68</v>
      </c>
      <c r="E107" s="430"/>
      <c r="F107" s="431" t="s">
        <v>69</v>
      </c>
      <c r="G107" s="432"/>
      <c r="H107" s="432"/>
      <c r="I107" s="433"/>
      <c r="J107" s="427"/>
      <c r="K107" s="428"/>
      <c r="L107" s="429"/>
    </row>
    <row r="108" spans="1:12" ht="31.5" customHeight="1">
      <c r="A108" s="24"/>
      <c r="B108" s="373" t="s">
        <v>70</v>
      </c>
      <c r="C108" s="372"/>
      <c r="D108" s="372"/>
      <c r="E108" s="372"/>
      <c r="F108" s="329" t="s">
        <v>198</v>
      </c>
      <c r="G108" s="415"/>
      <c r="H108" s="415"/>
      <c r="I108" s="415"/>
      <c r="J108" s="416" t="s">
        <v>197</v>
      </c>
      <c r="K108" s="417"/>
      <c r="L108" s="418"/>
    </row>
    <row r="109" spans="1:12" ht="57" customHeight="1">
      <c r="A109" s="24"/>
      <c r="B109" s="373" t="s">
        <v>71</v>
      </c>
      <c r="C109" s="372"/>
      <c r="D109" s="372"/>
      <c r="E109" s="372"/>
      <c r="F109" s="329" t="s">
        <v>72</v>
      </c>
      <c r="G109" s="415"/>
      <c r="H109" s="415"/>
      <c r="I109" s="415"/>
      <c r="J109" s="406" t="s">
        <v>193</v>
      </c>
      <c r="K109" s="419"/>
      <c r="L109" s="420"/>
    </row>
    <row r="110" spans="1:12" ht="48.75" customHeight="1">
      <c r="A110" s="24"/>
      <c r="B110" s="371" t="s">
        <v>73</v>
      </c>
      <c r="C110" s="412"/>
      <c r="D110" s="412"/>
      <c r="E110" s="412"/>
      <c r="F110" s="413" t="s">
        <v>185</v>
      </c>
      <c r="G110" s="414"/>
      <c r="H110" s="414"/>
      <c r="I110" s="414"/>
      <c r="J110" s="406" t="s">
        <v>377</v>
      </c>
      <c r="K110" s="407"/>
      <c r="L110" s="408"/>
    </row>
    <row r="111" spans="1:12" ht="33.75" customHeight="1">
      <c r="A111" s="24"/>
      <c r="B111" s="371" t="s">
        <v>74</v>
      </c>
      <c r="C111" s="372"/>
      <c r="D111" s="372"/>
      <c r="E111" s="372"/>
      <c r="F111" s="329" t="s">
        <v>185</v>
      </c>
      <c r="G111" s="415"/>
      <c r="H111" s="415"/>
      <c r="I111" s="415"/>
      <c r="J111" s="406" t="s">
        <v>92</v>
      </c>
      <c r="K111" s="407"/>
      <c r="L111" s="408"/>
    </row>
    <row r="112" spans="1:12" ht="53.25" customHeight="1">
      <c r="A112" s="24"/>
      <c r="B112" s="398" t="s">
        <v>144</v>
      </c>
      <c r="C112" s="399"/>
      <c r="D112" s="404"/>
      <c r="E112" s="405"/>
      <c r="F112" s="334" t="s">
        <v>165</v>
      </c>
      <c r="G112" s="335"/>
      <c r="H112" s="335"/>
      <c r="I112" s="142" t="s">
        <v>201</v>
      </c>
      <c r="J112" s="406" t="s">
        <v>100</v>
      </c>
      <c r="K112" s="407"/>
      <c r="L112" s="408"/>
    </row>
    <row r="113" spans="1:12" ht="16.5" customHeight="1">
      <c r="A113" s="24"/>
      <c r="B113" s="400"/>
      <c r="C113" s="401"/>
      <c r="D113" s="135"/>
      <c r="E113" s="136" t="str">
        <f>"20"&amp;LEFT(I25,2)-5&amp;"년"</f>
        <v>2020년</v>
      </c>
      <c r="F113" s="297">
        <v>0</v>
      </c>
      <c r="G113" s="298"/>
      <c r="H113" s="298"/>
      <c r="I113" s="299"/>
      <c r="J113" s="45"/>
      <c r="K113" s="315" t="s">
        <v>164</v>
      </c>
      <c r="L113" s="316"/>
    </row>
    <row r="114" spans="1:12" ht="16.5" customHeight="1">
      <c r="A114" s="24"/>
      <c r="B114" s="400"/>
      <c r="C114" s="401"/>
      <c r="D114" s="137"/>
      <c r="E114" s="102" t="str">
        <f>"20"&amp;LEFT(I25,2)-4&amp;"년"</f>
        <v>2021년</v>
      </c>
      <c r="F114" s="297">
        <v>7.0000000000000007E-2</v>
      </c>
      <c r="G114" s="298"/>
      <c r="H114" s="298">
        <v>0</v>
      </c>
      <c r="I114" s="299"/>
      <c r="J114" s="45"/>
      <c r="K114" s="317"/>
      <c r="L114" s="318"/>
    </row>
    <row r="115" spans="1:12" ht="16.5" customHeight="1">
      <c r="A115" s="24"/>
      <c r="B115" s="400"/>
      <c r="C115" s="401"/>
      <c r="D115" s="137"/>
      <c r="E115" s="102" t="str">
        <f>"20"&amp;LEFT(I25,2)-3&amp;"년"</f>
        <v>2022년</v>
      </c>
      <c r="F115" s="297">
        <v>0</v>
      </c>
      <c r="G115" s="298"/>
      <c r="H115" s="298">
        <v>0</v>
      </c>
      <c r="I115" s="299"/>
      <c r="J115" s="45"/>
      <c r="K115" s="317"/>
      <c r="L115" s="318"/>
    </row>
    <row r="116" spans="1:12">
      <c r="A116" s="24"/>
      <c r="B116" s="400"/>
      <c r="C116" s="401"/>
      <c r="D116" s="137"/>
      <c r="E116" s="102" t="str">
        <f>"20"&amp;LEFT(I25,2)-2&amp;"년"</f>
        <v>2023년</v>
      </c>
      <c r="F116" s="297">
        <v>3.5000000000000003E-2</v>
      </c>
      <c r="G116" s="298"/>
      <c r="H116" s="298">
        <v>0</v>
      </c>
      <c r="I116" s="299"/>
      <c r="J116" s="45"/>
      <c r="K116" s="317"/>
      <c r="L116" s="318"/>
    </row>
    <row r="117" spans="1:12">
      <c r="B117" s="400"/>
      <c r="C117" s="401"/>
      <c r="D117" s="137"/>
      <c r="E117" s="102" t="str">
        <f>"20"&amp;LEFT(I25,2)-1&amp;"년"</f>
        <v>2024년</v>
      </c>
      <c r="F117" s="297">
        <v>2.5000000000000001E-2</v>
      </c>
      <c r="G117" s="298"/>
      <c r="H117" s="298">
        <v>0</v>
      </c>
      <c r="I117" s="299"/>
      <c r="J117" s="45"/>
      <c r="K117" s="317"/>
      <c r="L117" s="318"/>
    </row>
    <row r="118" spans="1:12" ht="16.5" customHeight="1" thickBot="1">
      <c r="B118" s="402"/>
      <c r="C118" s="403"/>
      <c r="D118" s="138"/>
      <c r="E118" s="270" t="str">
        <f>"20"&amp;LEFT(I25,2)&amp;"년"</f>
        <v>2025년</v>
      </c>
      <c r="F118" s="409">
        <v>2.5000000000000001E-2</v>
      </c>
      <c r="G118" s="410"/>
      <c r="H118" s="410">
        <v>0</v>
      </c>
      <c r="I118" s="411"/>
      <c r="J118" s="46"/>
      <c r="K118" s="319"/>
      <c r="L118" s="320"/>
    </row>
    <row r="119" spans="1:12">
      <c r="B119" s="24" t="s">
        <v>99</v>
      </c>
    </row>
    <row r="120" spans="1:12">
      <c r="B120" s="24"/>
      <c r="F120" s="47"/>
      <c r="G120" s="47"/>
      <c r="H120" s="47"/>
      <c r="I120" s="47"/>
      <c r="J120" s="47"/>
      <c r="K120" s="47"/>
    </row>
    <row r="121" spans="1:12" ht="18" thickBot="1">
      <c r="A121" s="396" t="s">
        <v>75</v>
      </c>
      <c r="B121" s="396"/>
      <c r="C121" s="396"/>
      <c r="D121" s="397" t="s">
        <v>264</v>
      </c>
      <c r="E121" s="397"/>
      <c r="F121" s="397"/>
      <c r="G121" s="397"/>
      <c r="H121" s="397"/>
      <c r="I121" s="397"/>
      <c r="J121" s="48"/>
      <c r="K121" s="49"/>
      <c r="L121" s="49"/>
    </row>
    <row r="122" spans="1:12" ht="17.25" customHeight="1">
      <c r="B122" s="378" t="s">
        <v>76</v>
      </c>
      <c r="C122" s="378"/>
      <c r="D122" s="378"/>
      <c r="E122" s="378"/>
      <c r="F122" s="378"/>
      <c r="G122" s="378"/>
      <c r="H122" s="378"/>
      <c r="I122" s="378"/>
      <c r="J122" s="378"/>
      <c r="K122" s="378"/>
      <c r="L122" s="378"/>
    </row>
    <row r="123" spans="1:12" ht="17.25" customHeight="1">
      <c r="B123" s="68" t="s">
        <v>77</v>
      </c>
      <c r="C123" s="57"/>
      <c r="D123" s="57"/>
      <c r="E123" s="57"/>
      <c r="F123" s="57"/>
      <c r="G123" s="57"/>
      <c r="H123" s="57"/>
      <c r="I123" s="57"/>
      <c r="J123" s="57"/>
      <c r="K123" s="57"/>
      <c r="L123" s="57"/>
    </row>
    <row r="124" spans="1:12" ht="17.25" customHeight="1">
      <c r="B124" s="68" t="s">
        <v>384</v>
      </c>
      <c r="C124" s="57"/>
      <c r="D124" s="57"/>
      <c r="E124" s="57"/>
      <c r="F124" s="57"/>
      <c r="G124" s="57"/>
      <c r="H124" s="57"/>
      <c r="I124" s="57"/>
      <c r="J124" s="57"/>
      <c r="K124" s="57"/>
      <c r="L124" s="57"/>
    </row>
    <row r="126" spans="1:12" ht="18" thickBot="1">
      <c r="B126" s="50" t="s">
        <v>78</v>
      </c>
      <c r="C126" s="50"/>
      <c r="D126" s="50"/>
      <c r="F126" s="379" t="s">
        <v>387</v>
      </c>
      <c r="G126" s="379"/>
      <c r="H126" s="379"/>
      <c r="I126" s="379"/>
      <c r="J126" s="258" t="s">
        <v>389</v>
      </c>
      <c r="K126" s="254" t="s">
        <v>79</v>
      </c>
    </row>
    <row r="127" spans="1:12">
      <c r="B127" s="84" t="s">
        <v>388</v>
      </c>
    </row>
    <row r="129" spans="2:12">
      <c r="B129" s="51" t="s">
        <v>80</v>
      </c>
    </row>
    <row r="130" spans="2:12" ht="21" customHeight="1" thickBot="1">
      <c r="B130" s="380" t="s">
        <v>383</v>
      </c>
      <c r="C130" s="380"/>
      <c r="D130" s="380"/>
      <c r="E130" s="380"/>
      <c r="F130" s="380"/>
      <c r="G130" s="380"/>
      <c r="H130" s="380"/>
      <c r="I130" s="380"/>
      <c r="J130" s="380"/>
      <c r="K130" s="380"/>
      <c r="L130" s="380"/>
    </row>
    <row r="131" spans="2:12" ht="17.100000000000001" customHeight="1" thickBot="1">
      <c r="B131" s="60"/>
      <c r="C131" s="381" t="s">
        <v>81</v>
      </c>
      <c r="D131" s="382"/>
      <c r="E131" s="382"/>
      <c r="F131" s="383"/>
      <c r="G131" s="384" t="s">
        <v>82</v>
      </c>
      <c r="H131" s="385"/>
      <c r="I131" s="386"/>
      <c r="J131" s="53"/>
      <c r="K131" s="53"/>
      <c r="L131" s="53"/>
    </row>
    <row r="132" spans="2:12" ht="17.100000000000001" customHeight="1">
      <c r="B132" s="54">
        <v>1</v>
      </c>
      <c r="C132" s="306" t="str">
        <f>LEFT(I62,7)&amp;"월말 재직자명부"</f>
        <v>251231월말 재직자명부</v>
      </c>
      <c r="D132" s="307"/>
      <c r="E132" s="307"/>
      <c r="F132" s="387"/>
      <c r="G132" s="306" t="str">
        <f>LEFT(I62,4)&amp;".1.1~"&amp;I62&amp; " 퇴직자명부"</f>
        <v>2512.1.1~251231 퇴직자명부</v>
      </c>
      <c r="H132" s="307"/>
      <c r="I132" s="308"/>
      <c r="J132" s="53"/>
      <c r="K132" s="53"/>
      <c r="L132" s="53"/>
    </row>
    <row r="133" spans="2:12" ht="17.100000000000001" customHeight="1">
      <c r="B133" s="55">
        <v>2</v>
      </c>
      <c r="C133" s="306"/>
      <c r="D133" s="307"/>
      <c r="E133" s="307"/>
      <c r="F133" s="387"/>
      <c r="G133" s="306"/>
      <c r="H133" s="307"/>
      <c r="I133" s="308"/>
      <c r="J133" s="53"/>
      <c r="K133" s="53"/>
      <c r="L133" s="53"/>
    </row>
    <row r="134" spans="2:12" ht="17.100000000000001" customHeight="1">
      <c r="B134" s="55">
        <v>3</v>
      </c>
      <c r="C134" s="363"/>
      <c r="D134" s="364"/>
      <c r="E134" s="364"/>
      <c r="F134" s="388"/>
      <c r="G134" s="363"/>
      <c r="H134" s="389"/>
      <c r="I134" s="390"/>
      <c r="J134" s="53"/>
      <c r="K134" s="53"/>
      <c r="L134" s="53"/>
    </row>
    <row r="135" spans="2:12" ht="17.100000000000001" customHeight="1">
      <c r="B135" s="55">
        <v>4</v>
      </c>
      <c r="C135" s="363"/>
      <c r="D135" s="364"/>
      <c r="E135" s="364"/>
      <c r="F135" s="388"/>
      <c r="G135" s="363"/>
      <c r="H135" s="389"/>
      <c r="I135" s="390"/>
      <c r="J135" s="53"/>
      <c r="K135" s="53"/>
      <c r="L135" s="53"/>
    </row>
    <row r="136" spans="2:12" ht="17.100000000000001" customHeight="1" thickBot="1">
      <c r="B136" s="56">
        <v>5</v>
      </c>
      <c r="C136" s="391"/>
      <c r="D136" s="392"/>
      <c r="E136" s="392"/>
      <c r="F136" s="393"/>
      <c r="G136" s="391"/>
      <c r="H136" s="394"/>
      <c r="I136" s="395"/>
      <c r="J136" s="53"/>
      <c r="K136" s="53"/>
      <c r="L136" s="53"/>
    </row>
    <row r="137" spans="2:12" ht="14.25" customHeight="1">
      <c r="B137" s="52"/>
    </row>
    <row r="138" spans="2:12">
      <c r="B138" s="51" t="s">
        <v>83</v>
      </c>
    </row>
    <row r="139" spans="2:12">
      <c r="B139" s="24" t="s">
        <v>84</v>
      </c>
    </row>
    <row r="141" spans="2:12">
      <c r="B141" s="51" t="s">
        <v>85</v>
      </c>
    </row>
    <row r="142" spans="2:12">
      <c r="B142" s="24" t="s">
        <v>86</v>
      </c>
    </row>
    <row r="143" spans="2:12">
      <c r="B143" s="24" t="s">
        <v>87</v>
      </c>
    </row>
    <row r="145" spans="2:10">
      <c r="B145" s="47" t="s">
        <v>88</v>
      </c>
    </row>
    <row r="146" spans="2:10" ht="30" customHeight="1">
      <c r="B146" s="377" t="s">
        <v>93</v>
      </c>
      <c r="C146" s="377"/>
      <c r="D146" s="377"/>
      <c r="E146" s="377"/>
      <c r="F146" s="377"/>
      <c r="G146" s="377"/>
      <c r="H146" s="377"/>
      <c r="I146" s="377"/>
      <c r="J146" s="377"/>
    </row>
    <row r="148" spans="2:10">
      <c r="B148" s="47" t="s">
        <v>89</v>
      </c>
    </row>
    <row r="149" spans="2:10" ht="30" customHeight="1">
      <c r="B149" s="377" t="s">
        <v>94</v>
      </c>
      <c r="C149" s="377"/>
      <c r="D149" s="377"/>
      <c r="E149" s="377"/>
      <c r="F149" s="377"/>
      <c r="G149" s="377"/>
      <c r="H149" s="377"/>
      <c r="I149" s="377"/>
      <c r="J149" s="377"/>
    </row>
    <row r="151" spans="2:10">
      <c r="B151" s="47" t="s">
        <v>90</v>
      </c>
    </row>
    <row r="152" spans="2:10" ht="30" customHeight="1">
      <c r="B152" s="377" t="s">
        <v>95</v>
      </c>
      <c r="C152" s="377"/>
      <c r="D152" s="377"/>
      <c r="E152" s="377"/>
      <c r="F152" s="377"/>
      <c r="G152" s="377"/>
      <c r="H152" s="377"/>
      <c r="I152" s="377"/>
      <c r="J152" s="377"/>
    </row>
    <row r="154" spans="2:10">
      <c r="B154" s="47" t="s">
        <v>91</v>
      </c>
    </row>
    <row r="155" spans="2:10" ht="30" customHeight="1">
      <c r="B155" s="377" t="s">
        <v>96</v>
      </c>
      <c r="C155" s="377"/>
      <c r="D155" s="377"/>
      <c r="E155" s="377"/>
      <c r="F155" s="377"/>
      <c r="G155" s="377"/>
      <c r="H155" s="377"/>
      <c r="I155" s="377"/>
      <c r="J155" s="377"/>
    </row>
  </sheetData>
  <sheetCalcPr fullCalcOnLoad="1"/>
  <customSheetViews>
    <customSheetView guid="{43483F5C-8E8A-4730-B6D4-5C852E982BE9}" scale="85" showPageBreaks="1" showGridLines="0" printArea="1" hiddenRows="1">
      <selection sqref="A1:L1"/>
      <rowBreaks count="1" manualBreakCount="1">
        <brk id="62" max="11" man="1"/>
      </rowBreaks>
      <pageMargins left="0.43307086614173229" right="0.27559055118110237" top="0.51181102362204722" bottom="0.74803149606299213" header="0.31496062992125984" footer="0.31496062992125984"/>
      <pageSetup paperSize="9" scale="57" orientation="portrait" r:id="rId1"/>
      <headerFooter>
        <oddFooter>&amp;L&amp;G&amp;C&amp;A&amp;R&amp;P</oddFooter>
      </headerFooter>
    </customSheetView>
    <customSheetView guid="{D547A7EF-E679-4E79-95F6-4600943823D7}" scale="85" showPageBreaks="1" showGridLines="0" printArea="1" hiddenRows="1" topLeftCell="A52">
      <selection activeCell="J58" sqref="J58:L62"/>
      <rowBreaks count="1" manualBreakCount="1">
        <brk id="63" max="11" man="1"/>
      </rowBreaks>
      <pageMargins left="0.53" right="0.27559055118110237" top="0.51181102362204722" bottom="0.74803149606299213" header="0.31496062992125984" footer="0.31496062992125984"/>
      <pageSetup paperSize="9" scale="57" orientation="portrait" r:id="rId2"/>
      <headerFooter>
        <oddFooter>&amp;L&amp;G&amp;C&amp;A&amp;R&amp;P</oddFooter>
      </headerFooter>
    </customSheetView>
  </customSheetViews>
  <mergeCells count="183">
    <mergeCell ref="K45:L46"/>
    <mergeCell ref="C41:C44"/>
    <mergeCell ref="D47:E47"/>
    <mergeCell ref="C45:C47"/>
    <mergeCell ref="C48:C50"/>
    <mergeCell ref="K42:L42"/>
    <mergeCell ref="K43:L43"/>
    <mergeCell ref="D41:E41"/>
    <mergeCell ref="D42:E42"/>
    <mergeCell ref="D44:E44"/>
    <mergeCell ref="D48:E48"/>
    <mergeCell ref="B51:E51"/>
    <mergeCell ref="D61:I61"/>
    <mergeCell ref="B41:B50"/>
    <mergeCell ref="D43:E43"/>
    <mergeCell ref="D50:E50"/>
    <mergeCell ref="D46:E46"/>
    <mergeCell ref="A1:L1"/>
    <mergeCell ref="B12:C12"/>
    <mergeCell ref="D12:L12"/>
    <mergeCell ref="B13:C13"/>
    <mergeCell ref="D13:L13"/>
    <mergeCell ref="B14:C14"/>
    <mergeCell ref="D14:L14"/>
    <mergeCell ref="D24:I24"/>
    <mergeCell ref="D25:E25"/>
    <mergeCell ref="D31:E31"/>
    <mergeCell ref="B15:C15"/>
    <mergeCell ref="D15:L15"/>
    <mergeCell ref="B16:C16"/>
    <mergeCell ref="D16:L16"/>
    <mergeCell ref="B17:C17"/>
    <mergeCell ref="D17:L17"/>
    <mergeCell ref="K25:L25"/>
    <mergeCell ref="B26:B35"/>
    <mergeCell ref="C26:C29"/>
    <mergeCell ref="D26:E26"/>
    <mergeCell ref="D27:E27"/>
    <mergeCell ref="D28:E28"/>
    <mergeCell ref="D29:E29"/>
    <mergeCell ref="C30:C33"/>
    <mergeCell ref="D30:E30"/>
    <mergeCell ref="C35:E35"/>
    <mergeCell ref="D32:E32"/>
    <mergeCell ref="D33:E33"/>
    <mergeCell ref="K36:L39"/>
    <mergeCell ref="K41:L41"/>
    <mergeCell ref="D38:E38"/>
    <mergeCell ref="D37:E37"/>
    <mergeCell ref="J87:L92"/>
    <mergeCell ref="D88:E88"/>
    <mergeCell ref="D89:E89"/>
    <mergeCell ref="D62:E62"/>
    <mergeCell ref="J62:L62"/>
    <mergeCell ref="D80:E80"/>
    <mergeCell ref="D81:E81"/>
    <mergeCell ref="D65:E65"/>
    <mergeCell ref="D66:E66"/>
    <mergeCell ref="D67:E67"/>
    <mergeCell ref="D78:E78"/>
    <mergeCell ref="D71:E71"/>
    <mergeCell ref="D75:E75"/>
    <mergeCell ref="D76:E76"/>
    <mergeCell ref="D68:E68"/>
    <mergeCell ref="B93:C98"/>
    <mergeCell ref="D93:E93"/>
    <mergeCell ref="B87:C92"/>
    <mergeCell ref="D87:E87"/>
    <mergeCell ref="B63:B83"/>
    <mergeCell ref="C72:C74"/>
    <mergeCell ref="D79:E79"/>
    <mergeCell ref="C65:C68"/>
    <mergeCell ref="D94:E94"/>
    <mergeCell ref="D95:E95"/>
    <mergeCell ref="J103:L103"/>
    <mergeCell ref="D96:E96"/>
    <mergeCell ref="D97:E97"/>
    <mergeCell ref="D98:E98"/>
    <mergeCell ref="D83:E83"/>
    <mergeCell ref="D90:E90"/>
    <mergeCell ref="D91:E91"/>
    <mergeCell ref="D92:E92"/>
    <mergeCell ref="B104:E104"/>
    <mergeCell ref="J104:L104"/>
    <mergeCell ref="B105:E105"/>
    <mergeCell ref="J105:L105"/>
    <mergeCell ref="F105:I105"/>
    <mergeCell ref="B102:E102"/>
    <mergeCell ref="F102:I102"/>
    <mergeCell ref="J102:L102"/>
    <mergeCell ref="B103:E103"/>
    <mergeCell ref="F103:I103"/>
    <mergeCell ref="B106:C107"/>
    <mergeCell ref="D106:E106"/>
    <mergeCell ref="F106:I106"/>
    <mergeCell ref="J106:L107"/>
    <mergeCell ref="D107:E107"/>
    <mergeCell ref="F107:I107"/>
    <mergeCell ref="B108:E108"/>
    <mergeCell ref="F108:I108"/>
    <mergeCell ref="J108:L108"/>
    <mergeCell ref="B109:E109"/>
    <mergeCell ref="F109:I109"/>
    <mergeCell ref="J109:L109"/>
    <mergeCell ref="B110:E110"/>
    <mergeCell ref="F110:I110"/>
    <mergeCell ref="J110:L110"/>
    <mergeCell ref="B111:E111"/>
    <mergeCell ref="F111:I111"/>
    <mergeCell ref="J111:L111"/>
    <mergeCell ref="A121:C121"/>
    <mergeCell ref="D121:I121"/>
    <mergeCell ref="B112:C118"/>
    <mergeCell ref="D112:E112"/>
    <mergeCell ref="J112:L112"/>
    <mergeCell ref="F118:I118"/>
    <mergeCell ref="F113:I113"/>
    <mergeCell ref="F114:I114"/>
    <mergeCell ref="F115:I115"/>
    <mergeCell ref="F116:I116"/>
    <mergeCell ref="B152:J152"/>
    <mergeCell ref="B155:J155"/>
    <mergeCell ref="C133:F133"/>
    <mergeCell ref="G133:I133"/>
    <mergeCell ref="C134:F134"/>
    <mergeCell ref="G134:I134"/>
    <mergeCell ref="C135:F135"/>
    <mergeCell ref="G135:I135"/>
    <mergeCell ref="C136:F136"/>
    <mergeCell ref="G136:I136"/>
    <mergeCell ref="B146:J146"/>
    <mergeCell ref="B149:J149"/>
    <mergeCell ref="B122:L122"/>
    <mergeCell ref="F126:I126"/>
    <mergeCell ref="B130:L130"/>
    <mergeCell ref="C131:F131"/>
    <mergeCell ref="G131:I131"/>
    <mergeCell ref="C132:F132"/>
    <mergeCell ref="G132:I132"/>
    <mergeCell ref="B24:C25"/>
    <mergeCell ref="B61:C62"/>
    <mergeCell ref="D63:E63"/>
    <mergeCell ref="D64:E64"/>
    <mergeCell ref="J64:L64"/>
    <mergeCell ref="D39:E39"/>
    <mergeCell ref="D45:E45"/>
    <mergeCell ref="D49:E49"/>
    <mergeCell ref="B36:C39"/>
    <mergeCell ref="D36:E36"/>
    <mergeCell ref="C75:C77"/>
    <mergeCell ref="J75:L77"/>
    <mergeCell ref="D73:E73"/>
    <mergeCell ref="J69:L70"/>
    <mergeCell ref="J72:L73"/>
    <mergeCell ref="C69:C71"/>
    <mergeCell ref="D70:E70"/>
    <mergeCell ref="D69:E69"/>
    <mergeCell ref="C79:C82"/>
    <mergeCell ref="J85:L85"/>
    <mergeCell ref="F112:H112"/>
    <mergeCell ref="D72:E72"/>
    <mergeCell ref="D74:E74"/>
    <mergeCell ref="D84:E84"/>
    <mergeCell ref="D85:E85"/>
    <mergeCell ref="B84:C85"/>
    <mergeCell ref="D82:E82"/>
    <mergeCell ref="D77:E77"/>
    <mergeCell ref="F117:I117"/>
    <mergeCell ref="K48:L49"/>
    <mergeCell ref="J79:L81"/>
    <mergeCell ref="J82:L82"/>
    <mergeCell ref="J83:L83"/>
    <mergeCell ref="K113:L118"/>
    <mergeCell ref="J93:L98"/>
    <mergeCell ref="J65:L67"/>
    <mergeCell ref="J61:L61"/>
    <mergeCell ref="F104:G104"/>
    <mergeCell ref="J24:J25"/>
    <mergeCell ref="K24:L24"/>
    <mergeCell ref="K26:L29"/>
    <mergeCell ref="K30:L33"/>
    <mergeCell ref="K34:L34"/>
    <mergeCell ref="K35:L35"/>
  </mergeCells>
  <phoneticPr fontId="2" type="noConversion"/>
  <conditionalFormatting sqref="J26:J39">
    <cfRule type="cellIs" dxfId="2" priority="3" stopIfTrue="1" operator="equal">
      <formula>FALSE</formula>
    </cfRule>
  </conditionalFormatting>
  <conditionalFormatting sqref="J41 J43:J51">
    <cfRule type="cellIs" dxfId="1" priority="2" stopIfTrue="1" operator="equal">
      <formula>FALSE</formula>
    </cfRule>
  </conditionalFormatting>
  <conditionalFormatting sqref="J42">
    <cfRule type="cellIs" dxfId="0" priority="1" stopIfTrue="1" operator="equal">
      <formula>FALSE</formula>
    </cfRule>
  </conditionalFormatting>
  <dataValidations count="5">
    <dataValidation type="list" allowBlank="1" showInputMessage="1" showErrorMessage="1" sqref="D121:I121">
      <formula1>$M$119:$M$123</formula1>
    </dataValidation>
    <dataValidation type="list" allowBlank="1" showInputMessage="1" showErrorMessage="1" sqref="I112">
      <formula1>$L$99:$L$101</formula1>
    </dataValidation>
    <dataValidation type="list" allowBlank="1" showInputMessage="1" showErrorMessage="1" sqref="F104:F105 F110:I111">
      <formula1>$J$99:$J$101</formula1>
    </dataValidation>
    <dataValidation type="list" allowBlank="1" showInputMessage="1" showErrorMessage="1" sqref="F108:I108">
      <formula1>$M$107:$M$109</formula1>
    </dataValidation>
    <dataValidation type="list" allowBlank="1" showInputMessage="1" showErrorMessage="1" sqref="F126:I126">
      <formula1>"80.0% (목표 사외적립비율),2015년말 현재 사외적립비율,기타,사외적립자산 없음"</formula1>
    </dataValidation>
  </dataValidations>
  <printOptions horizontalCentered="1"/>
  <pageMargins left="0.17" right="0.27559055118110237" top="0.72" bottom="0.6" header="0.31496062992125984" footer="0.24"/>
  <pageSetup paperSize="9" scale="58" fitToHeight="0" orientation="portrait" r:id="rId3"/>
  <headerFooter>
    <oddFooter>&amp;L&amp;G&amp;C&amp;A&amp;R&amp;P</oddFooter>
  </headerFooter>
  <rowBreaks count="2" manualBreakCount="2">
    <brk id="54" max="11" man="1"/>
    <brk id="99" max="16383" man="1"/>
  </rowBreaks>
  <ignoredErrors>
    <ignoredError sqref="F39:I39 F68:I68" formulaRange="1"/>
  </ignoredErrors>
  <drawing r:id="rId4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0.39997558519241921"/>
  </sheetPr>
  <dimension ref="A1:H37"/>
  <sheetViews>
    <sheetView zoomScale="85" zoomScaleNormal="85" zoomScaleSheetLayoutView="70" workbookViewId="0">
      <selection activeCell="A2" sqref="A2"/>
    </sheetView>
  </sheetViews>
  <sheetFormatPr defaultRowHeight="17.399999999999999"/>
  <cols>
    <col min="2" max="2" width="14.09765625" customWidth="1"/>
    <col min="3" max="3" width="27.5" customWidth="1"/>
    <col min="4" max="4" width="29.3984375" customWidth="1"/>
    <col min="5" max="5" width="35.8984375" customWidth="1"/>
    <col min="6" max="6" width="27.3984375" customWidth="1"/>
    <col min="7" max="7" width="12.59765625" customWidth="1"/>
    <col min="8" max="8" width="11.19921875" customWidth="1"/>
    <col min="9" max="9" width="9.69921875" customWidth="1"/>
    <col min="10" max="10" width="12.5" customWidth="1"/>
    <col min="11" max="11" width="11.8984375" customWidth="1"/>
  </cols>
  <sheetData>
    <row r="1" spans="1:8">
      <c r="A1" s="193"/>
      <c r="B1" s="222"/>
      <c r="C1" s="222"/>
      <c r="D1" s="222"/>
      <c r="E1" s="222"/>
      <c r="F1" s="223"/>
      <c r="G1" s="183"/>
      <c r="H1" s="222"/>
    </row>
    <row r="2" spans="1:8">
      <c r="A2" s="178"/>
      <c r="B2" s="59" t="s">
        <v>378</v>
      </c>
      <c r="C2" s="179"/>
      <c r="D2" s="180"/>
      <c r="E2" s="179"/>
      <c r="F2" s="181"/>
      <c r="G2" s="182"/>
      <c r="H2" s="179"/>
    </row>
    <row r="3" spans="1:8">
      <c r="A3" s="178"/>
      <c r="B3" s="184"/>
      <c r="C3" s="179"/>
      <c r="D3" s="179"/>
      <c r="E3" s="179"/>
      <c r="F3" s="181"/>
      <c r="G3" s="182"/>
      <c r="H3" s="179"/>
    </row>
    <row r="4" spans="1:8">
      <c r="A4" s="178"/>
      <c r="B4" s="51" t="s">
        <v>204</v>
      </c>
      <c r="C4" s="179"/>
      <c r="D4" s="179"/>
      <c r="E4" s="179"/>
      <c r="F4" s="181"/>
      <c r="G4" s="182"/>
      <c r="H4" s="179"/>
    </row>
    <row r="5" spans="1:8">
      <c r="A5" s="178"/>
      <c r="B5" s="185" t="s">
        <v>205</v>
      </c>
      <c r="C5" s="179"/>
      <c r="D5" s="179"/>
      <c r="E5" s="179"/>
      <c r="F5" s="181"/>
      <c r="G5" s="182"/>
      <c r="H5" s="179"/>
    </row>
    <row r="6" spans="1:8">
      <c r="A6" s="178"/>
      <c r="B6" s="185" t="s">
        <v>206</v>
      </c>
      <c r="C6" s="179"/>
      <c r="D6" s="179"/>
      <c r="E6" s="179"/>
      <c r="F6" s="181"/>
      <c r="G6" s="182"/>
      <c r="H6" s="179"/>
    </row>
    <row r="7" spans="1:8">
      <c r="A7" s="178"/>
      <c r="B7" s="249" t="s">
        <v>207</v>
      </c>
      <c r="C7" s="179"/>
      <c r="D7" s="179"/>
      <c r="E7" s="179"/>
      <c r="F7" s="181"/>
      <c r="G7" s="182"/>
      <c r="H7" s="179"/>
    </row>
    <row r="8" spans="1:8">
      <c r="A8" s="178"/>
      <c r="B8" s="186"/>
      <c r="C8" s="179"/>
      <c r="D8" s="179"/>
      <c r="E8" s="179"/>
      <c r="F8" s="181"/>
      <c r="G8" s="182"/>
      <c r="H8" s="179"/>
    </row>
    <row r="9" spans="1:8">
      <c r="A9" s="178"/>
      <c r="B9" s="184" t="s">
        <v>208</v>
      </c>
      <c r="C9" s="179"/>
      <c r="D9" s="179"/>
      <c r="E9" s="179"/>
      <c r="F9" s="181"/>
      <c r="G9" s="182"/>
      <c r="H9" s="179"/>
    </row>
    <row r="10" spans="1:8">
      <c r="A10" s="178"/>
      <c r="B10" s="187" t="s">
        <v>209</v>
      </c>
      <c r="C10" s="187" t="s">
        <v>210</v>
      </c>
      <c r="D10" s="187" t="s">
        <v>211</v>
      </c>
      <c r="E10" s="187" t="s">
        <v>212</v>
      </c>
      <c r="F10" s="187" t="s">
        <v>213</v>
      </c>
      <c r="G10" s="182"/>
      <c r="H10" s="179"/>
    </row>
    <row r="11" spans="1:8">
      <c r="A11" s="178"/>
      <c r="B11" s="188" t="s">
        <v>214</v>
      </c>
      <c r="C11" s="189" t="s">
        <v>215</v>
      </c>
      <c r="D11" s="189" t="s">
        <v>216</v>
      </c>
      <c r="E11" s="189" t="s">
        <v>217</v>
      </c>
      <c r="F11" s="190"/>
      <c r="G11" s="182"/>
      <c r="H11" s="179"/>
    </row>
    <row r="12" spans="1:8">
      <c r="A12" s="178"/>
      <c r="B12" s="188" t="s">
        <v>218</v>
      </c>
      <c r="C12" s="189" t="s">
        <v>215</v>
      </c>
      <c r="D12" s="189" t="s">
        <v>219</v>
      </c>
      <c r="E12" s="189" t="s">
        <v>217</v>
      </c>
      <c r="F12" s="190"/>
      <c r="G12" s="182"/>
      <c r="H12" s="179"/>
    </row>
    <row r="13" spans="1:8">
      <c r="A13" s="178"/>
      <c r="B13" s="188" t="s">
        <v>220</v>
      </c>
      <c r="C13" s="189" t="s">
        <v>221</v>
      </c>
      <c r="D13" s="189" t="s">
        <v>222</v>
      </c>
      <c r="E13" s="189" t="s">
        <v>223</v>
      </c>
      <c r="F13" s="190"/>
      <c r="G13" s="182"/>
      <c r="H13" s="179"/>
    </row>
    <row r="14" spans="1:8">
      <c r="A14" s="178"/>
      <c r="B14" s="188" t="s">
        <v>224</v>
      </c>
      <c r="C14" s="189" t="s">
        <v>225</v>
      </c>
      <c r="D14" s="189" t="s">
        <v>226</v>
      </c>
      <c r="E14" s="189" t="s">
        <v>227</v>
      </c>
      <c r="F14" s="190"/>
      <c r="G14" s="182"/>
      <c r="H14" s="179"/>
    </row>
    <row r="15" spans="1:8">
      <c r="A15" s="178"/>
      <c r="B15" s="191"/>
      <c r="C15" s="192"/>
      <c r="D15" s="192"/>
      <c r="E15" s="192"/>
      <c r="F15" s="179"/>
      <c r="G15" s="182"/>
      <c r="H15" s="179"/>
    </row>
    <row r="16" spans="1:8">
      <c r="A16" s="178"/>
      <c r="B16" s="179"/>
      <c r="C16" s="179"/>
      <c r="D16" s="179"/>
      <c r="E16" s="179"/>
      <c r="F16" s="181"/>
      <c r="G16" s="182"/>
      <c r="H16" s="179"/>
    </row>
    <row r="17" spans="1:8">
      <c r="A17" s="178"/>
      <c r="B17" s="51" t="s">
        <v>228</v>
      </c>
      <c r="C17" s="179"/>
      <c r="D17" s="179"/>
      <c r="E17" s="179"/>
      <c r="F17" s="181"/>
      <c r="G17" s="182"/>
      <c r="H17" s="179"/>
    </row>
    <row r="18" spans="1:8">
      <c r="A18" s="193"/>
      <c r="B18" s="185" t="s">
        <v>229</v>
      </c>
      <c r="C18" s="179"/>
      <c r="D18" s="179"/>
      <c r="E18" s="186"/>
      <c r="F18" s="181"/>
      <c r="G18" s="182"/>
      <c r="H18" s="179"/>
    </row>
    <row r="19" spans="1:8">
      <c r="A19" s="193"/>
      <c r="B19" s="185" t="s">
        <v>230</v>
      </c>
      <c r="C19" s="179"/>
      <c r="D19" s="179"/>
      <c r="E19" s="186"/>
      <c r="F19" s="181"/>
      <c r="G19" s="182"/>
      <c r="H19" s="179"/>
    </row>
    <row r="20" spans="1:8">
      <c r="A20" s="193"/>
      <c r="B20" s="185" t="s">
        <v>231</v>
      </c>
      <c r="C20" s="179"/>
      <c r="D20" s="179"/>
      <c r="E20" s="186"/>
      <c r="F20" s="181"/>
      <c r="G20" s="182"/>
      <c r="H20" s="179"/>
    </row>
    <row r="21" spans="1:8">
      <c r="A21" s="193"/>
      <c r="B21" s="249" t="s">
        <v>232</v>
      </c>
      <c r="C21" s="179"/>
      <c r="D21" s="179"/>
      <c r="E21" s="186"/>
      <c r="F21" s="181"/>
      <c r="G21" s="182"/>
      <c r="H21" s="179"/>
    </row>
    <row r="22" spans="1:8" ht="18" thickBot="1">
      <c r="A22" s="193"/>
      <c r="B22" s="186"/>
      <c r="C22" s="179"/>
      <c r="D22" s="179"/>
      <c r="E22" s="186"/>
      <c r="F22" s="181"/>
      <c r="G22" s="182"/>
      <c r="H22" s="179"/>
    </row>
    <row r="23" spans="1:8" ht="18" thickTop="1">
      <c r="A23" s="193"/>
      <c r="B23" s="194" t="s">
        <v>233</v>
      </c>
      <c r="C23" s="195"/>
      <c r="D23" s="196"/>
      <c r="E23" s="186"/>
      <c r="F23" s="181"/>
      <c r="G23" s="182"/>
      <c r="H23" s="179"/>
    </row>
    <row r="24" spans="1:8">
      <c r="A24" s="193"/>
      <c r="B24" s="197" t="s">
        <v>234</v>
      </c>
      <c r="C24" s="198" t="s">
        <v>235</v>
      </c>
      <c r="D24" s="199"/>
      <c r="E24" s="186"/>
      <c r="F24" s="181"/>
      <c r="G24" s="182"/>
      <c r="H24" s="179"/>
    </row>
    <row r="25" spans="1:8">
      <c r="A25" s="193"/>
      <c r="B25" s="197" t="s">
        <v>236</v>
      </c>
      <c r="C25" s="198" t="s">
        <v>237</v>
      </c>
      <c r="D25" s="199"/>
      <c r="E25" s="186"/>
      <c r="F25" s="181"/>
      <c r="G25" s="182"/>
      <c r="H25" s="179"/>
    </row>
    <row r="26" spans="1:8" ht="18" thickBot="1">
      <c r="A26" s="193"/>
      <c r="B26" s="200" t="s">
        <v>238</v>
      </c>
      <c r="C26" s="201" t="s">
        <v>239</v>
      </c>
      <c r="D26" s="202"/>
      <c r="E26" s="186"/>
      <c r="F26" s="181"/>
      <c r="G26" s="182"/>
      <c r="H26" s="179"/>
    </row>
    <row r="27" spans="1:8" ht="18" thickTop="1">
      <c r="A27" s="193"/>
      <c r="B27" s="186"/>
      <c r="C27" s="179"/>
      <c r="D27" s="179"/>
      <c r="E27" s="186"/>
      <c r="F27" s="181"/>
      <c r="G27" s="182"/>
      <c r="H27" s="179"/>
    </row>
    <row r="28" spans="1:8">
      <c r="A28" s="193"/>
      <c r="B28" s="184" t="s">
        <v>400</v>
      </c>
      <c r="C28" s="248"/>
      <c r="D28" s="179"/>
      <c r="E28" s="186"/>
      <c r="F28" s="181"/>
      <c r="G28" s="182"/>
      <c r="H28" s="179"/>
    </row>
    <row r="29" spans="1:8">
      <c r="A29" s="193"/>
      <c r="B29" s="203" t="s">
        <v>240</v>
      </c>
      <c r="C29" s="204" t="s">
        <v>241</v>
      </c>
      <c r="D29" s="205" t="s">
        <v>242</v>
      </c>
      <c r="E29" s="206" t="s">
        <v>243</v>
      </c>
      <c r="F29" s="207"/>
      <c r="G29" s="182"/>
      <c r="H29" s="182"/>
    </row>
    <row r="30" spans="1:8">
      <c r="A30" s="193"/>
      <c r="B30" s="208" t="s">
        <v>214</v>
      </c>
      <c r="C30" s="209"/>
      <c r="D30" s="210"/>
      <c r="E30" s="211"/>
      <c r="F30" s="181"/>
      <c r="G30" s="182"/>
      <c r="H30" s="179"/>
    </row>
    <row r="31" spans="1:8">
      <c r="A31" s="193"/>
      <c r="B31" s="208" t="s">
        <v>218</v>
      </c>
      <c r="C31" s="209"/>
      <c r="D31" s="210"/>
      <c r="E31" s="211"/>
      <c r="F31" s="181"/>
      <c r="G31" s="182"/>
      <c r="H31" s="179"/>
    </row>
    <row r="32" spans="1:8">
      <c r="A32" s="193"/>
      <c r="B32" s="208" t="s">
        <v>220</v>
      </c>
      <c r="C32" s="209"/>
      <c r="D32" s="210"/>
      <c r="E32" s="211"/>
      <c r="F32" s="181"/>
      <c r="G32" s="182"/>
      <c r="H32" s="179"/>
    </row>
    <row r="33" spans="1:8">
      <c r="A33" s="193"/>
      <c r="B33" s="208" t="s">
        <v>224</v>
      </c>
      <c r="C33" s="209"/>
      <c r="D33" s="212"/>
      <c r="E33" s="211"/>
      <c r="F33" s="181"/>
      <c r="G33" s="182"/>
      <c r="H33" s="179"/>
    </row>
    <row r="34" spans="1:8">
      <c r="A34" s="220"/>
      <c r="B34" s="213" t="s">
        <v>244</v>
      </c>
      <c r="C34" s="214"/>
      <c r="D34" s="215"/>
      <c r="E34" s="216"/>
      <c r="F34" s="217"/>
      <c r="G34" s="218"/>
      <c r="H34" s="219"/>
    </row>
    <row r="35" spans="1:8">
      <c r="A35" s="193"/>
      <c r="B35" s="186"/>
      <c r="C35" s="179"/>
      <c r="D35" s="221"/>
      <c r="E35" s="192"/>
      <c r="F35" s="181"/>
      <c r="G35" s="182"/>
      <c r="H35" s="179"/>
    </row>
    <row r="36" spans="1:8">
      <c r="A36" s="193"/>
      <c r="B36" s="222"/>
      <c r="C36" s="222"/>
      <c r="D36" s="222"/>
      <c r="E36" s="222"/>
      <c r="F36" s="223"/>
      <c r="G36" s="183"/>
      <c r="H36" s="222"/>
    </row>
    <row r="37" spans="1:8">
      <c r="A37" s="193"/>
      <c r="B37" s="222"/>
      <c r="C37" s="222"/>
      <c r="D37" s="222"/>
      <c r="E37" s="222"/>
      <c r="F37" s="223"/>
      <c r="G37" s="183"/>
      <c r="H37" s="222"/>
    </row>
  </sheetData>
  <phoneticPr fontId="36" type="noConversion"/>
  <pageMargins left="0.43307086614173229" right="0.27559055118110237" top="0.51181102362204722" bottom="0.74803149606299213" header="0.31496062992125984" footer="0.31496062992125984"/>
  <pageSetup paperSize="9" scale="65" fitToHeight="0" orientation="portrait" r:id="rId1"/>
  <headerFooter>
    <oddFooter>&amp;L&amp;G&amp;C&amp;A&amp;R&amp;P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8" tint="0.39997558519241921"/>
  </sheetPr>
  <dimension ref="A1:G29"/>
  <sheetViews>
    <sheetView showGridLines="0" zoomScale="90" zoomScaleNormal="90" zoomScaleSheetLayoutView="100" workbookViewId="0">
      <selection activeCell="E24" sqref="E24"/>
    </sheetView>
  </sheetViews>
  <sheetFormatPr defaultRowHeight="19.5" customHeight="1"/>
  <cols>
    <col min="1" max="2" width="4.5" customWidth="1"/>
    <col min="3" max="3" width="11.3984375" customWidth="1"/>
    <col min="4" max="4" width="26.59765625" customWidth="1"/>
    <col min="5" max="5" width="72.09765625" customWidth="1"/>
    <col min="6" max="6" width="9.3984375" customWidth="1"/>
    <col min="7" max="7" width="8.19921875" bestFit="1" customWidth="1"/>
  </cols>
  <sheetData>
    <row r="1" spans="1:7" ht="19.5" customHeight="1">
      <c r="A1" s="13"/>
      <c r="B1" s="13"/>
      <c r="C1" s="80"/>
      <c r="D1" s="80"/>
      <c r="E1" s="81"/>
      <c r="F1" s="14"/>
      <c r="G1" s="13"/>
    </row>
    <row r="2" spans="1:7" ht="24.75" customHeight="1">
      <c r="A2" s="13"/>
      <c r="B2" s="13"/>
      <c r="C2" s="59" t="s">
        <v>265</v>
      </c>
      <c r="D2" s="80"/>
      <c r="E2" s="81"/>
      <c r="F2" s="14"/>
      <c r="G2" s="13"/>
    </row>
    <row r="3" spans="1:7" ht="20.25" customHeight="1">
      <c r="A3" s="13"/>
      <c r="B3" s="13"/>
      <c r="C3" s="134" t="s">
        <v>266</v>
      </c>
      <c r="D3" s="80"/>
      <c r="E3" s="81"/>
      <c r="F3" s="14"/>
      <c r="G3" s="13"/>
    </row>
    <row r="4" spans="1:7" ht="20.25" customHeight="1">
      <c r="A4" s="13"/>
      <c r="B4" s="13"/>
      <c r="C4" s="85" t="s">
        <v>267</v>
      </c>
      <c r="D4" s="80"/>
      <c r="E4" s="81"/>
      <c r="F4" s="14"/>
      <c r="G4" s="13"/>
    </row>
    <row r="5" spans="1:7" ht="14.25" customHeight="1">
      <c r="A5" s="13"/>
      <c r="B5" s="13"/>
      <c r="C5" s="80"/>
      <c r="D5" s="80"/>
      <c r="E5" s="81"/>
      <c r="F5" s="14"/>
      <c r="G5" s="13"/>
    </row>
    <row r="6" spans="1:7" ht="19.5" customHeight="1">
      <c r="A6" s="13"/>
      <c r="B6" s="13"/>
      <c r="C6" s="82" t="s">
        <v>268</v>
      </c>
      <c r="D6" s="82" t="s">
        <v>269</v>
      </c>
      <c r="E6" s="83" t="s">
        <v>270</v>
      </c>
      <c r="F6" s="13"/>
      <c r="G6" s="12"/>
    </row>
    <row r="7" spans="1:7" ht="81" customHeight="1">
      <c r="A7" s="13"/>
      <c r="B7" s="13"/>
      <c r="C7" s="556" t="s">
        <v>271</v>
      </c>
      <c r="D7" s="69"/>
      <c r="E7" s="70" t="s">
        <v>272</v>
      </c>
      <c r="F7" s="13"/>
      <c r="G7" s="13"/>
    </row>
    <row r="8" spans="1:7" ht="24" customHeight="1">
      <c r="A8" s="13"/>
      <c r="B8" s="13"/>
      <c r="C8" s="467"/>
      <c r="D8" s="71" t="s">
        <v>273</v>
      </c>
      <c r="E8" s="269" t="s">
        <v>402</v>
      </c>
      <c r="F8" s="13"/>
      <c r="G8" s="13"/>
    </row>
    <row r="9" spans="1:7" ht="24" customHeight="1">
      <c r="A9" s="13"/>
      <c r="B9" s="13"/>
      <c r="C9" s="467"/>
      <c r="D9" s="71" t="s">
        <v>274</v>
      </c>
      <c r="E9" s="72" t="s">
        <v>275</v>
      </c>
      <c r="F9" s="13"/>
      <c r="G9" s="13"/>
    </row>
    <row r="10" spans="1:7" ht="24" customHeight="1">
      <c r="A10" s="13"/>
      <c r="B10" s="13"/>
      <c r="C10" s="467"/>
      <c r="D10" s="71" t="s">
        <v>276</v>
      </c>
      <c r="E10" s="72" t="s">
        <v>277</v>
      </c>
      <c r="F10" s="13"/>
      <c r="G10" s="13"/>
    </row>
    <row r="11" spans="1:7" ht="24" customHeight="1">
      <c r="A11" s="13"/>
      <c r="B11" s="13"/>
      <c r="C11" s="468"/>
      <c r="D11" s="73" t="s">
        <v>278</v>
      </c>
      <c r="E11" s="74" t="s">
        <v>279</v>
      </c>
      <c r="F11" s="13"/>
      <c r="G11" s="13"/>
    </row>
    <row r="12" spans="1:7" ht="24" customHeight="1">
      <c r="A12" s="13"/>
      <c r="B12" s="13"/>
      <c r="C12" s="556" t="s">
        <v>280</v>
      </c>
      <c r="D12" s="75" t="s">
        <v>281</v>
      </c>
      <c r="E12" s="76" t="s">
        <v>282</v>
      </c>
      <c r="F12" s="13"/>
      <c r="G12" s="13"/>
    </row>
    <row r="13" spans="1:7" ht="36" customHeight="1">
      <c r="A13" s="13"/>
      <c r="B13" s="13"/>
      <c r="C13" s="557"/>
      <c r="D13" s="71" t="s">
        <v>283</v>
      </c>
      <c r="E13" s="77" t="s">
        <v>284</v>
      </c>
      <c r="F13" s="13"/>
      <c r="G13" s="13"/>
    </row>
    <row r="14" spans="1:7" ht="36" customHeight="1">
      <c r="A14" s="13"/>
      <c r="B14" s="13"/>
      <c r="C14" s="557"/>
      <c r="D14" s="71" t="s">
        <v>285</v>
      </c>
      <c r="E14" s="77" t="s">
        <v>286</v>
      </c>
      <c r="F14" s="13"/>
      <c r="G14" s="13"/>
    </row>
    <row r="15" spans="1:7" ht="51" customHeight="1">
      <c r="A15" s="13"/>
      <c r="B15" s="13"/>
      <c r="C15" s="557"/>
      <c r="D15" s="71" t="s">
        <v>287</v>
      </c>
      <c r="E15" s="77" t="s">
        <v>288</v>
      </c>
      <c r="F15" s="13"/>
      <c r="G15" s="13"/>
    </row>
    <row r="16" spans="1:7" ht="51" customHeight="1">
      <c r="A16" s="13"/>
      <c r="B16" s="13"/>
      <c r="C16" s="557"/>
      <c r="D16" s="89" t="s">
        <v>289</v>
      </c>
      <c r="E16" s="77" t="s">
        <v>290</v>
      </c>
      <c r="F16" s="13"/>
      <c r="G16" s="13"/>
    </row>
    <row r="17" spans="1:7" ht="36" customHeight="1">
      <c r="A17" s="13"/>
      <c r="B17" s="13"/>
      <c r="C17" s="557"/>
      <c r="D17" s="71" t="s">
        <v>291</v>
      </c>
      <c r="E17" s="77" t="str">
        <f>LEFT('(1-2) 기초자료_퇴직급여 '!I25,4)&amp;"년에 중간정산 한 재직자는 반드시 입력"&amp;
"(그 외의 중간정산자는 입력하지 않아도 됨)"</f>
        <v>2512년에 중간정산 한 재직자는 반드시 입력(그 외의 중간정산자는 입력하지 않아도 됨)</v>
      </c>
      <c r="F17" s="13"/>
      <c r="G17" s="13"/>
    </row>
    <row r="18" spans="1:7" ht="48.75" customHeight="1">
      <c r="A18" s="13"/>
      <c r="B18" s="13"/>
      <c r="C18" s="558"/>
      <c r="D18" s="88" t="s">
        <v>292</v>
      </c>
      <c r="E18" s="87" t="s">
        <v>293</v>
      </c>
      <c r="F18" s="13"/>
      <c r="G18" s="13"/>
    </row>
    <row r="19" spans="1:7" ht="36" customHeight="1">
      <c r="A19" s="13"/>
      <c r="B19" s="13"/>
      <c r="C19" s="556" t="s">
        <v>294</v>
      </c>
      <c r="D19" s="91"/>
      <c r="E19" s="92" t="s">
        <v>295</v>
      </c>
      <c r="F19" s="13"/>
      <c r="G19" s="13"/>
    </row>
    <row r="20" spans="1:7" ht="24" customHeight="1">
      <c r="A20" s="14"/>
      <c r="B20" s="14"/>
      <c r="C20" s="557"/>
      <c r="D20" s="75" t="s">
        <v>296</v>
      </c>
      <c r="E20" s="90" t="s">
        <v>297</v>
      </c>
      <c r="F20" s="14"/>
      <c r="G20" s="13"/>
    </row>
    <row r="21" spans="1:7" ht="24" customHeight="1">
      <c r="A21" s="14"/>
      <c r="B21" s="14"/>
      <c r="C21" s="557"/>
      <c r="D21" s="89" t="s">
        <v>298</v>
      </c>
      <c r="E21" s="78" t="s">
        <v>299</v>
      </c>
      <c r="F21" s="14"/>
      <c r="G21" s="13"/>
    </row>
    <row r="22" spans="1:7" ht="51" customHeight="1">
      <c r="A22" s="14"/>
      <c r="B22" s="14"/>
      <c r="C22" s="558"/>
      <c r="D22" s="94" t="s">
        <v>300</v>
      </c>
      <c r="E22" s="87" t="s">
        <v>301</v>
      </c>
      <c r="F22" s="14"/>
      <c r="G22" s="13"/>
    </row>
    <row r="23" spans="1:7" ht="24" customHeight="1">
      <c r="A23" s="14"/>
      <c r="B23" s="14"/>
      <c r="C23" s="556" t="s">
        <v>302</v>
      </c>
      <c r="D23" s="559" t="s">
        <v>303</v>
      </c>
      <c r="E23" s="560"/>
      <c r="F23" s="14"/>
      <c r="G23" s="13"/>
    </row>
    <row r="24" spans="1:7" ht="36" customHeight="1">
      <c r="A24" s="14"/>
      <c r="B24" s="14"/>
      <c r="C24" s="557"/>
      <c r="D24" s="75"/>
      <c r="E24" s="93" t="s">
        <v>391</v>
      </c>
      <c r="F24" s="14"/>
      <c r="G24" s="13"/>
    </row>
    <row r="25" spans="1:7" ht="24.75" customHeight="1">
      <c r="A25" s="14"/>
      <c r="B25" s="14"/>
      <c r="C25" s="557"/>
      <c r="D25" s="71" t="s">
        <v>304</v>
      </c>
      <c r="E25" s="78" t="s">
        <v>305</v>
      </c>
      <c r="F25" s="14"/>
      <c r="G25" s="13"/>
    </row>
    <row r="26" spans="1:7" ht="24.75" customHeight="1">
      <c r="A26" s="14"/>
      <c r="B26" s="14"/>
      <c r="C26" s="557"/>
      <c r="D26" s="71" t="s">
        <v>306</v>
      </c>
      <c r="E26" s="78" t="s">
        <v>307</v>
      </c>
      <c r="F26" s="14"/>
      <c r="G26" s="13"/>
    </row>
    <row r="27" spans="1:7" ht="36" customHeight="1">
      <c r="A27" s="14"/>
      <c r="B27" s="14"/>
      <c r="C27" s="557"/>
      <c r="D27" s="71" t="s">
        <v>308</v>
      </c>
      <c r="E27" s="95" t="s">
        <v>309</v>
      </c>
      <c r="F27" s="14"/>
      <c r="G27" s="13"/>
    </row>
    <row r="28" spans="1:7" ht="24" customHeight="1">
      <c r="A28" s="14"/>
      <c r="B28" s="14"/>
      <c r="C28" s="558"/>
      <c r="D28" s="73" t="s">
        <v>9</v>
      </c>
      <c r="E28" s="79" t="s">
        <v>10</v>
      </c>
      <c r="F28" s="14"/>
      <c r="G28" s="13"/>
    </row>
    <row r="29" spans="1:7" ht="19.5" customHeight="1">
      <c r="A29" s="13"/>
      <c r="B29" s="13"/>
      <c r="C29" s="80"/>
      <c r="D29" s="80"/>
      <c r="E29" s="81"/>
      <c r="F29" s="14"/>
      <c r="G29" s="13"/>
    </row>
  </sheetData>
  <customSheetViews>
    <customSheetView guid="{43483F5C-8E8A-4730-B6D4-5C852E982BE9}" scale="90" showPageBreaks="1" showGridLines="0" printArea="1">
      <selection activeCell="D1" sqref="D1"/>
      <colBreaks count="1" manualBreakCount="1">
        <brk id="5" max="1048575" man="1"/>
      </colBreaks>
      <pageMargins left="0.43307086614173229" right="0.27559055118110237" top="0.51181102362204722" bottom="0.74803149606299213" header="0.31496062992125984" footer="0.31496062992125984"/>
      <pageSetup paperSize="9" scale="75" orientation="portrait" r:id="rId1"/>
      <headerFooter>
        <oddFooter>&amp;L&amp;G&amp;C&amp;A&amp;R&amp;P</oddFooter>
      </headerFooter>
    </customSheetView>
    <customSheetView guid="{D547A7EF-E679-4E79-95F6-4600943823D7}" scale="90" showPageBreaks="1" showGridLines="0" printArea="1">
      <selection activeCell="B3" sqref="B3"/>
      <colBreaks count="1" manualBreakCount="1">
        <brk id="5" max="1048575" man="1"/>
      </colBreaks>
      <pageMargins left="0.74" right="0.27559055118110237" top="0.51181102362204722" bottom="0.74803149606299213" header="0.31496062992125984" footer="0.31496062992125984"/>
      <pageSetup paperSize="9" scale="75" orientation="portrait" r:id="rId2"/>
      <headerFooter>
        <oddFooter>&amp;L&amp;G&amp;C&amp;A&amp;R&amp;P</oddFooter>
      </headerFooter>
    </customSheetView>
  </customSheetViews>
  <mergeCells count="5">
    <mergeCell ref="C7:C11"/>
    <mergeCell ref="C12:C18"/>
    <mergeCell ref="C19:C22"/>
    <mergeCell ref="C23:C28"/>
    <mergeCell ref="D23:E23"/>
  </mergeCells>
  <phoneticPr fontId="26" type="noConversion"/>
  <pageMargins left="0.43307086614173229" right="0.27559055118110237" top="0.51181102362204722" bottom="0.74803149606299213" header="0.31496062992125984" footer="0.31496062992125984"/>
  <pageSetup paperSize="9" scale="75" orientation="portrait" r:id="rId3"/>
  <headerFooter>
    <oddFooter>&amp;L&amp;G&amp;C&amp;A&amp;R&amp;P</oddFooter>
  </headerFooter>
  <colBreaks count="1" manualBreakCount="1">
    <brk id="5" max="1048575" man="1"/>
  </colBreaks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8" tint="0.39997558519241921"/>
  </sheetPr>
  <dimension ref="A1:N751"/>
  <sheetViews>
    <sheetView zoomScaleNormal="100" zoomScaleSheetLayoutView="70" workbookViewId="0">
      <pane xSplit="7" ySplit="4" topLeftCell="H716" activePane="bottomRight" state="frozen"/>
      <selection pane="topRight" activeCell="H1" sqref="H1"/>
      <selection pane="bottomLeft" activeCell="A5" sqref="A5"/>
      <selection pane="bottomRight" activeCell="H10" sqref="H10"/>
    </sheetView>
  </sheetViews>
  <sheetFormatPr defaultRowHeight="16.5" customHeight="1"/>
  <cols>
    <col min="1" max="1" width="34.59765625" customWidth="1"/>
    <col min="2" max="2" width="11.19921875" bestFit="1" customWidth="1"/>
    <col min="3" max="3" width="11.59765625" customWidth="1"/>
    <col min="4" max="4" width="11.19921875" customWidth="1"/>
    <col min="5" max="5" width="11.59765625" customWidth="1"/>
    <col min="6" max="6" width="10.3984375" customWidth="1"/>
    <col min="7" max="7" width="17" bestFit="1" customWidth="1"/>
    <col min="8" max="8" width="34.8984375" bestFit="1" customWidth="1"/>
    <col min="9" max="9" width="13.59765625" customWidth="1"/>
    <col min="10" max="10" width="11.59765625" customWidth="1"/>
    <col min="11" max="11" width="11.8984375" customWidth="1"/>
    <col min="12" max="12" width="9.59765625" customWidth="1"/>
    <col min="13" max="13" width="9.59765625" style="276" customWidth="1"/>
    <col min="14" max="14" width="9.69921875" bestFit="1" customWidth="1"/>
  </cols>
  <sheetData>
    <row r="1" spans="1:14" ht="46.5" customHeight="1">
      <c r="A1" s="18" t="s">
        <v>310</v>
      </c>
      <c r="B1" s="17" t="s">
        <v>311</v>
      </c>
      <c r="C1" s="5" t="s">
        <v>312</v>
      </c>
      <c r="D1" s="5" t="s">
        <v>313</v>
      </c>
      <c r="E1" s="172" t="s">
        <v>314</v>
      </c>
      <c r="F1" s="7" t="s">
        <v>315</v>
      </c>
      <c r="G1" s="7" t="s">
        <v>316</v>
      </c>
      <c r="H1" s="271" t="s">
        <v>403</v>
      </c>
      <c r="I1" s="5" t="s">
        <v>318</v>
      </c>
      <c r="J1" s="257" t="s">
        <v>319</v>
      </c>
      <c r="K1" s="252" t="s">
        <v>320</v>
      </c>
      <c r="L1" s="5" t="s">
        <v>321</v>
      </c>
      <c r="M1" s="274" t="s">
        <v>322</v>
      </c>
      <c r="N1" s="8"/>
    </row>
    <row r="2" spans="1:14" ht="16.5" customHeight="1">
      <c r="A2" s="11" t="s">
        <v>7</v>
      </c>
      <c r="B2" s="265" t="s">
        <v>1685</v>
      </c>
      <c r="C2" s="263" t="s">
        <v>406</v>
      </c>
      <c r="D2" s="263">
        <v>2</v>
      </c>
      <c r="E2" s="171">
        <v>37834</v>
      </c>
      <c r="F2" s="264">
        <v>7508526.666666667</v>
      </c>
      <c r="G2" s="268">
        <v>168458430</v>
      </c>
      <c r="H2" s="264"/>
      <c r="I2" s="264">
        <v>1</v>
      </c>
      <c r="J2" s="272"/>
      <c r="K2" s="264"/>
      <c r="L2" s="264"/>
      <c r="M2" s="275"/>
      <c r="N2" s="171"/>
    </row>
    <row r="3" spans="1:14" ht="16.5" customHeight="1">
      <c r="A3" s="7" t="s">
        <v>323</v>
      </c>
      <c r="B3" s="265" t="s">
        <v>1686</v>
      </c>
      <c r="C3" s="263" t="s">
        <v>407</v>
      </c>
      <c r="D3" s="263">
        <v>1</v>
      </c>
      <c r="E3" s="171">
        <v>39776</v>
      </c>
      <c r="F3" s="264">
        <v>10277371.333333334</v>
      </c>
      <c r="G3" s="268">
        <v>175897920</v>
      </c>
      <c r="H3" s="264"/>
      <c r="I3" s="264">
        <v>1</v>
      </c>
      <c r="J3" s="272"/>
      <c r="K3" s="264"/>
      <c r="L3" s="264"/>
      <c r="M3" s="275"/>
      <c r="N3" s="1"/>
    </row>
    <row r="4" spans="1:14" ht="16.5" customHeight="1">
      <c r="A4" s="3" t="s">
        <v>324</v>
      </c>
      <c r="B4" s="265" t="s">
        <v>1687</v>
      </c>
      <c r="C4" s="263" t="s">
        <v>408</v>
      </c>
      <c r="D4" s="263">
        <v>2</v>
      </c>
      <c r="E4" s="171">
        <v>44536</v>
      </c>
      <c r="F4" s="264">
        <v>9568750</v>
      </c>
      <c r="G4" s="268">
        <v>38982830</v>
      </c>
      <c r="H4" s="264"/>
      <c r="I4" s="264">
        <v>1</v>
      </c>
      <c r="J4" s="272"/>
      <c r="K4" s="264"/>
      <c r="L4" s="264"/>
      <c r="M4" s="275"/>
      <c r="N4" s="1"/>
    </row>
    <row r="5" spans="1:14" ht="16.5" customHeight="1">
      <c r="A5" s="7" t="s">
        <v>325</v>
      </c>
      <c r="B5" s="265" t="s">
        <v>1688</v>
      </c>
      <c r="C5" s="263" t="s">
        <v>409</v>
      </c>
      <c r="D5" s="263">
        <v>2</v>
      </c>
      <c r="E5" s="171">
        <v>40126</v>
      </c>
      <c r="F5" s="264">
        <v>6408030</v>
      </c>
      <c r="G5" s="268">
        <v>103529190</v>
      </c>
      <c r="H5" s="264"/>
      <c r="I5" s="264">
        <v>1</v>
      </c>
      <c r="J5" s="272"/>
      <c r="K5" s="264"/>
      <c r="L5" s="264"/>
      <c r="M5" s="275"/>
      <c r="N5" s="1"/>
    </row>
    <row r="6" spans="1:14" ht="16.5" customHeight="1">
      <c r="A6" s="3" t="s">
        <v>326</v>
      </c>
      <c r="B6" s="265" t="s">
        <v>1689</v>
      </c>
      <c r="C6" s="263" t="s">
        <v>410</v>
      </c>
      <c r="D6" s="263">
        <v>1</v>
      </c>
      <c r="E6" s="171">
        <v>43451</v>
      </c>
      <c r="F6" s="264">
        <v>5318177.5</v>
      </c>
      <c r="G6" s="268">
        <v>37474940</v>
      </c>
      <c r="H6" s="264"/>
      <c r="I6" s="264">
        <v>1</v>
      </c>
      <c r="J6" s="272"/>
      <c r="K6" s="264"/>
      <c r="L6" s="264"/>
      <c r="M6" s="275"/>
      <c r="N6" s="1"/>
    </row>
    <row r="7" spans="1:14" ht="16.5" customHeight="1">
      <c r="A7" s="6" t="s">
        <v>327</v>
      </c>
      <c r="B7" s="265" t="s">
        <v>1690</v>
      </c>
      <c r="C7" s="263" t="s">
        <v>411</v>
      </c>
      <c r="D7" s="263">
        <v>2</v>
      </c>
      <c r="E7" s="171">
        <v>44900</v>
      </c>
      <c r="F7" s="264">
        <v>4376200</v>
      </c>
      <c r="G7" s="268">
        <v>13464310</v>
      </c>
      <c r="H7" s="264"/>
      <c r="I7" s="264">
        <v>1</v>
      </c>
      <c r="J7" s="272"/>
      <c r="K7" s="264"/>
      <c r="L7" s="264"/>
      <c r="M7" s="275"/>
    </row>
    <row r="8" spans="1:14" ht="16.5" customHeight="1">
      <c r="A8" s="3" t="s">
        <v>328</v>
      </c>
      <c r="B8" s="265" t="s">
        <v>1691</v>
      </c>
      <c r="C8" s="263" t="s">
        <v>412</v>
      </c>
      <c r="D8" s="263">
        <v>2</v>
      </c>
      <c r="E8" s="171">
        <v>45460</v>
      </c>
      <c r="F8" s="264">
        <v>4205840</v>
      </c>
      <c r="G8" s="268">
        <v>6487370</v>
      </c>
      <c r="H8" s="264"/>
      <c r="I8" s="264">
        <v>1</v>
      </c>
      <c r="J8" s="272"/>
      <c r="K8" s="264"/>
      <c r="L8" s="264"/>
      <c r="M8" s="275"/>
    </row>
    <row r="9" spans="1:14" ht="16.5" customHeight="1">
      <c r="A9" s="15" t="s">
        <v>329</v>
      </c>
      <c r="B9" s="265" t="s">
        <v>1692</v>
      </c>
      <c r="C9" s="263" t="s">
        <v>413</v>
      </c>
      <c r="D9" s="263">
        <v>1</v>
      </c>
      <c r="E9" s="171">
        <v>44987</v>
      </c>
      <c r="F9" s="264">
        <v>9249690</v>
      </c>
      <c r="G9" s="268">
        <v>26253920</v>
      </c>
      <c r="H9" s="264"/>
      <c r="I9" s="264">
        <v>1</v>
      </c>
      <c r="J9" s="272"/>
      <c r="K9" s="264"/>
      <c r="L9" s="264"/>
      <c r="M9" s="275"/>
    </row>
    <row r="10" spans="1:14" ht="16.5" customHeight="1">
      <c r="A10" s="6" t="s">
        <v>330</v>
      </c>
      <c r="B10" s="265" t="s">
        <v>1693</v>
      </c>
      <c r="C10" s="263" t="s">
        <v>414</v>
      </c>
      <c r="D10" s="263">
        <v>1</v>
      </c>
      <c r="E10" s="171">
        <v>42767</v>
      </c>
      <c r="F10" s="264">
        <v>5325600</v>
      </c>
      <c r="G10" s="268">
        <v>23097060</v>
      </c>
      <c r="H10" s="264"/>
      <c r="I10" s="264">
        <v>1</v>
      </c>
      <c r="J10" s="272">
        <v>44439</v>
      </c>
      <c r="K10" s="264"/>
      <c r="L10" s="264"/>
      <c r="M10" s="275"/>
    </row>
    <row r="11" spans="1:14" ht="16.5" customHeight="1">
      <c r="A11" s="3" t="s">
        <v>331</v>
      </c>
      <c r="B11" s="265" t="s">
        <v>1694</v>
      </c>
      <c r="C11" s="263" t="s">
        <v>415</v>
      </c>
      <c r="D11" s="263">
        <v>1</v>
      </c>
      <c r="E11" s="171">
        <v>44956</v>
      </c>
      <c r="F11" s="264">
        <v>5500750</v>
      </c>
      <c r="G11" s="268">
        <v>16080280</v>
      </c>
      <c r="H11" s="264"/>
      <c r="I11" s="264">
        <v>1</v>
      </c>
      <c r="J11" s="272"/>
      <c r="K11" s="264"/>
      <c r="L11" s="264"/>
      <c r="M11" s="275"/>
    </row>
    <row r="12" spans="1:14" ht="16.5" customHeight="1">
      <c r="A12" s="245" t="s">
        <v>329</v>
      </c>
      <c r="B12" s="265" t="s">
        <v>1695</v>
      </c>
      <c r="C12" s="263" t="s">
        <v>416</v>
      </c>
      <c r="D12" s="263">
        <v>1</v>
      </c>
      <c r="E12" s="171">
        <v>44781</v>
      </c>
      <c r="F12" s="264">
        <v>5142570</v>
      </c>
      <c r="G12" s="268">
        <v>1718890</v>
      </c>
      <c r="H12" s="264"/>
      <c r="I12" s="264">
        <v>1</v>
      </c>
      <c r="J12" s="272">
        <v>45900</v>
      </c>
      <c r="K12" s="264">
        <v>16150060</v>
      </c>
      <c r="L12" s="264"/>
      <c r="M12" s="275"/>
    </row>
    <row r="13" spans="1:14" ht="16.5" customHeight="1">
      <c r="A13" s="5" t="s">
        <v>332</v>
      </c>
      <c r="B13" s="265" t="s">
        <v>1696</v>
      </c>
      <c r="C13" s="263" t="s">
        <v>417</v>
      </c>
      <c r="D13" s="263">
        <v>1</v>
      </c>
      <c r="E13" s="171">
        <v>37257</v>
      </c>
      <c r="F13" s="264">
        <v>7749310</v>
      </c>
      <c r="G13" s="268">
        <v>56240890</v>
      </c>
      <c r="H13" s="264"/>
      <c r="I13" s="264">
        <v>1</v>
      </c>
      <c r="J13" s="272">
        <v>43373</v>
      </c>
      <c r="K13" s="264"/>
      <c r="L13" s="264"/>
      <c r="M13" s="275"/>
    </row>
    <row r="14" spans="1:14" ht="16.5" customHeight="1">
      <c r="A14" s="96" t="s">
        <v>334</v>
      </c>
      <c r="B14" s="265" t="s">
        <v>1697</v>
      </c>
      <c r="C14" s="263" t="s">
        <v>418</v>
      </c>
      <c r="D14" s="263">
        <v>1</v>
      </c>
      <c r="E14" s="171">
        <v>42352</v>
      </c>
      <c r="F14" s="264">
        <v>8523870.833333334</v>
      </c>
      <c r="G14" s="268">
        <v>85729130</v>
      </c>
      <c r="H14" s="264"/>
      <c r="I14" s="264">
        <v>1</v>
      </c>
      <c r="J14" s="272"/>
      <c r="K14" s="264"/>
      <c r="L14" s="264"/>
      <c r="M14" s="275"/>
    </row>
    <row r="15" spans="1:14" ht="16.5" customHeight="1">
      <c r="A15" s="3" t="s">
        <v>335</v>
      </c>
      <c r="B15" s="265" t="s">
        <v>1698</v>
      </c>
      <c r="C15" s="263" t="s">
        <v>419</v>
      </c>
      <c r="D15" s="263">
        <v>1</v>
      </c>
      <c r="E15" s="171">
        <v>44655</v>
      </c>
      <c r="F15" s="264">
        <v>6806750.833333333</v>
      </c>
      <c r="G15" s="268">
        <v>25511330</v>
      </c>
      <c r="H15" s="264"/>
      <c r="I15" s="264">
        <v>1</v>
      </c>
      <c r="J15" s="272"/>
      <c r="K15" s="264"/>
      <c r="L15" s="264"/>
      <c r="M15" s="275"/>
    </row>
    <row r="16" spans="1:14" ht="16.5" customHeight="1">
      <c r="A16" s="5" t="s">
        <v>336</v>
      </c>
      <c r="B16" s="265" t="s">
        <v>1699</v>
      </c>
      <c r="C16" s="263" t="s">
        <v>420</v>
      </c>
      <c r="D16" s="263">
        <v>1</v>
      </c>
      <c r="E16" s="171">
        <v>44040</v>
      </c>
      <c r="F16" s="264">
        <v>4884325</v>
      </c>
      <c r="G16" s="268">
        <v>26535940</v>
      </c>
      <c r="H16" s="264"/>
      <c r="I16" s="264">
        <v>1</v>
      </c>
      <c r="J16" s="272"/>
      <c r="K16" s="264"/>
      <c r="L16" s="264"/>
      <c r="M16" s="275"/>
    </row>
    <row r="17" spans="1:13" ht="16.5" customHeight="1">
      <c r="A17" s="10" t="str">
        <f>LEFT('(1-2) 기초자료_퇴직급여 '!I25,4)&amp;"년에 중간정산한 종업원은 반드시 입력"</f>
        <v>2512년에 중간정산한 종업원은 반드시 입력</v>
      </c>
      <c r="B17" s="265" t="s">
        <v>1700</v>
      </c>
      <c r="C17" s="263" t="s">
        <v>421</v>
      </c>
      <c r="D17" s="263">
        <v>1</v>
      </c>
      <c r="E17" s="171">
        <v>45139</v>
      </c>
      <c r="F17" s="264">
        <v>4616410</v>
      </c>
      <c r="G17" s="268">
        <v>2706610</v>
      </c>
      <c r="H17" s="264"/>
      <c r="I17" s="264">
        <v>1</v>
      </c>
      <c r="J17" s="272">
        <v>45808</v>
      </c>
      <c r="K17" s="264">
        <v>8672730</v>
      </c>
      <c r="L17" s="264"/>
      <c r="M17" s="275"/>
    </row>
    <row r="18" spans="1:13" ht="16.5" customHeight="1">
      <c r="A18" s="3" t="s">
        <v>337</v>
      </c>
      <c r="B18" s="265" t="s">
        <v>1701</v>
      </c>
      <c r="C18" s="263" t="s">
        <v>422</v>
      </c>
      <c r="D18" s="263">
        <v>1</v>
      </c>
      <c r="E18" s="171">
        <v>45579</v>
      </c>
      <c r="F18" s="264">
        <v>3416670</v>
      </c>
      <c r="G18" s="268">
        <v>4156170</v>
      </c>
      <c r="H18" s="264"/>
      <c r="I18" s="264">
        <v>1</v>
      </c>
      <c r="J18" s="272"/>
      <c r="K18" s="264"/>
      <c r="L18" s="264"/>
      <c r="M18" s="275"/>
    </row>
    <row r="19" spans="1:13" ht="16.5" customHeight="1">
      <c r="A19" s="5" t="s">
        <v>338</v>
      </c>
      <c r="B19" s="265" t="s">
        <v>1702</v>
      </c>
      <c r="C19" s="263" t="s">
        <v>423</v>
      </c>
      <c r="D19" s="263">
        <v>1</v>
      </c>
      <c r="E19" s="171">
        <v>45243</v>
      </c>
      <c r="F19" s="264">
        <v>7757196.666666667</v>
      </c>
      <c r="G19" s="268">
        <v>16577030</v>
      </c>
      <c r="H19" s="264"/>
      <c r="I19" s="264">
        <v>1</v>
      </c>
      <c r="J19" s="272"/>
      <c r="K19" s="264"/>
      <c r="L19" s="264"/>
      <c r="M19" s="275"/>
    </row>
    <row r="20" spans="1:13" ht="16.5" customHeight="1">
      <c r="A20" s="3" t="s">
        <v>339</v>
      </c>
      <c r="B20" s="265" t="s">
        <v>1703</v>
      </c>
      <c r="C20" s="263" t="s">
        <v>424</v>
      </c>
      <c r="D20" s="263">
        <v>1</v>
      </c>
      <c r="E20" s="171">
        <v>43444</v>
      </c>
      <c r="F20" s="264">
        <v>4137537.5</v>
      </c>
      <c r="G20" s="268">
        <v>29234820</v>
      </c>
      <c r="H20" s="264"/>
      <c r="I20" s="264">
        <v>1</v>
      </c>
      <c r="J20" s="272"/>
      <c r="K20" s="264"/>
      <c r="L20" s="264"/>
      <c r="M20" s="275"/>
    </row>
    <row r="21" spans="1:13" ht="16.5" customHeight="1">
      <c r="A21" s="5" t="s">
        <v>340</v>
      </c>
      <c r="B21" s="265" t="s">
        <v>1704</v>
      </c>
      <c r="C21" s="263" t="s">
        <v>425</v>
      </c>
      <c r="D21" s="263">
        <v>2</v>
      </c>
      <c r="E21" s="171">
        <v>45621</v>
      </c>
      <c r="F21" s="264">
        <v>5750000</v>
      </c>
      <c r="G21" s="268">
        <v>6332880</v>
      </c>
      <c r="H21" s="264"/>
      <c r="I21" s="264">
        <v>1</v>
      </c>
      <c r="J21" s="272"/>
      <c r="K21" s="264"/>
      <c r="L21" s="264"/>
      <c r="M21" s="275"/>
    </row>
    <row r="22" spans="1:13" ht="16.5" customHeight="1">
      <c r="A22" s="3" t="s">
        <v>341</v>
      </c>
      <c r="B22" s="265" t="s">
        <v>1705</v>
      </c>
      <c r="C22" s="263" t="s">
        <v>426</v>
      </c>
      <c r="D22" s="263">
        <v>1</v>
      </c>
      <c r="E22" s="171">
        <v>45432</v>
      </c>
      <c r="F22" s="264">
        <v>6870840</v>
      </c>
      <c r="G22" s="268">
        <v>11125120</v>
      </c>
      <c r="H22" s="264"/>
      <c r="I22" s="264">
        <v>1</v>
      </c>
      <c r="J22" s="272"/>
      <c r="K22" s="264"/>
      <c r="L22" s="264"/>
      <c r="M22" s="275"/>
    </row>
    <row r="23" spans="1:13" ht="16.5" customHeight="1">
      <c r="A23" s="4" t="s">
        <v>342</v>
      </c>
      <c r="B23" s="265" t="s">
        <v>1706</v>
      </c>
      <c r="C23" s="263" t="s">
        <v>427</v>
      </c>
      <c r="D23" s="263">
        <v>2</v>
      </c>
      <c r="E23" s="171">
        <v>43801</v>
      </c>
      <c r="F23" s="264">
        <v>3812720</v>
      </c>
      <c r="G23" s="268">
        <v>23210590</v>
      </c>
      <c r="H23" s="264"/>
      <c r="I23" s="264">
        <v>1</v>
      </c>
      <c r="J23" s="272"/>
      <c r="K23" s="264"/>
      <c r="L23" s="264"/>
      <c r="M23" s="275"/>
    </row>
    <row r="24" spans="1:13" ht="16.5" customHeight="1">
      <c r="A24" s="3" t="s">
        <v>343</v>
      </c>
      <c r="B24" s="265" t="s">
        <v>1707</v>
      </c>
      <c r="C24" s="263" t="s">
        <v>428</v>
      </c>
      <c r="D24" s="263">
        <v>1</v>
      </c>
      <c r="E24" s="171">
        <v>44006</v>
      </c>
      <c r="F24" s="264">
        <v>5040370</v>
      </c>
      <c r="G24" s="268">
        <v>27853230</v>
      </c>
      <c r="H24" s="264"/>
      <c r="I24" s="264">
        <v>1</v>
      </c>
      <c r="J24" s="272"/>
      <c r="K24" s="264"/>
      <c r="L24" s="264"/>
      <c r="M24" s="275"/>
    </row>
    <row r="25" spans="1:13" ht="16.5" customHeight="1">
      <c r="A25" s="10" t="s">
        <v>344</v>
      </c>
      <c r="B25" s="265" t="s">
        <v>1708</v>
      </c>
      <c r="C25" s="263" t="s">
        <v>429</v>
      </c>
      <c r="D25" s="263">
        <v>2</v>
      </c>
      <c r="E25" s="171">
        <v>44144</v>
      </c>
      <c r="F25" s="264">
        <v>3866300</v>
      </c>
      <c r="G25" s="268">
        <v>19903510</v>
      </c>
      <c r="H25" s="264"/>
      <c r="I25" s="264">
        <v>1</v>
      </c>
      <c r="J25" s="272"/>
      <c r="K25" s="264"/>
      <c r="L25" s="264"/>
      <c r="M25" s="275"/>
    </row>
    <row r="26" spans="1:13" ht="16.5" customHeight="1">
      <c r="A26" s="3" t="s">
        <v>345</v>
      </c>
      <c r="B26" s="265" t="s">
        <v>1709</v>
      </c>
      <c r="C26" s="263" t="s">
        <v>430</v>
      </c>
      <c r="D26" s="263">
        <v>2</v>
      </c>
      <c r="E26" s="171">
        <v>44291</v>
      </c>
      <c r="F26" s="264">
        <v>3965290</v>
      </c>
      <c r="G26" s="268">
        <v>18816120</v>
      </c>
      <c r="H26" s="264"/>
      <c r="I26" s="264">
        <v>1</v>
      </c>
      <c r="J26" s="272"/>
      <c r="K26" s="264"/>
      <c r="L26" s="264"/>
      <c r="M26" s="275"/>
    </row>
    <row r="27" spans="1:13" ht="16.5" customHeight="1">
      <c r="B27" s="265" t="s">
        <v>1710</v>
      </c>
      <c r="C27" s="263" t="s">
        <v>431</v>
      </c>
      <c r="D27" s="263">
        <v>2</v>
      </c>
      <c r="E27" s="171">
        <v>45411</v>
      </c>
      <c r="F27" s="264">
        <v>3410420</v>
      </c>
      <c r="G27" s="268">
        <v>5718300</v>
      </c>
      <c r="H27" s="264"/>
      <c r="I27" s="264">
        <v>1</v>
      </c>
      <c r="J27" s="272"/>
      <c r="K27" s="264"/>
      <c r="L27" s="264"/>
      <c r="M27" s="275"/>
    </row>
    <row r="28" spans="1:13" ht="16.5" customHeight="1">
      <c r="B28" s="265" t="s">
        <v>1711</v>
      </c>
      <c r="C28" s="263" t="s">
        <v>432</v>
      </c>
      <c r="D28" s="263">
        <v>1</v>
      </c>
      <c r="E28" s="171">
        <v>45544</v>
      </c>
      <c r="F28" s="264">
        <v>3083340</v>
      </c>
      <c r="G28" s="268">
        <v>4046360</v>
      </c>
      <c r="H28" s="264"/>
      <c r="I28" s="264">
        <v>1</v>
      </c>
      <c r="J28" s="272"/>
      <c r="K28" s="264"/>
      <c r="L28" s="264"/>
      <c r="M28" s="275"/>
    </row>
    <row r="29" spans="1:13" ht="16.5" customHeight="1">
      <c r="B29" s="265" t="s">
        <v>1712</v>
      </c>
      <c r="C29" s="263" t="s">
        <v>433</v>
      </c>
      <c r="D29" s="263">
        <v>1</v>
      </c>
      <c r="E29" s="171">
        <v>44984</v>
      </c>
      <c r="F29" s="264">
        <v>6641320</v>
      </c>
      <c r="G29" s="268">
        <v>545870</v>
      </c>
      <c r="H29" s="264"/>
      <c r="I29" s="264">
        <v>1</v>
      </c>
      <c r="J29" s="272">
        <v>45992</v>
      </c>
      <c r="K29" s="264">
        <v>18789790</v>
      </c>
      <c r="L29" s="264"/>
      <c r="M29" s="275"/>
    </row>
    <row r="30" spans="1:13" ht="16.5" customHeight="1">
      <c r="B30" s="265" t="s">
        <v>1713</v>
      </c>
      <c r="C30" s="263" t="s">
        <v>434</v>
      </c>
      <c r="D30" s="263">
        <v>2</v>
      </c>
      <c r="E30" s="171">
        <v>43899</v>
      </c>
      <c r="F30" s="264">
        <v>3250000</v>
      </c>
      <c r="G30" s="268">
        <v>18912330</v>
      </c>
      <c r="H30" s="264"/>
      <c r="I30" s="264">
        <v>1</v>
      </c>
      <c r="J30" s="272"/>
      <c r="K30" s="264"/>
      <c r="L30" s="264"/>
      <c r="M30" s="275"/>
    </row>
    <row r="31" spans="1:13" ht="16.5" customHeight="1">
      <c r="B31" s="265" t="s">
        <v>1714</v>
      </c>
      <c r="C31" s="263" t="s">
        <v>435</v>
      </c>
      <c r="D31" s="263">
        <v>2</v>
      </c>
      <c r="E31" s="171">
        <v>43915</v>
      </c>
      <c r="F31" s="264">
        <v>4031580</v>
      </c>
      <c r="G31" s="268">
        <v>23283760</v>
      </c>
      <c r="H31" s="264"/>
      <c r="I31" s="264">
        <v>1</v>
      </c>
      <c r="J31" s="272"/>
      <c r="K31" s="264"/>
      <c r="L31" s="264"/>
      <c r="M31" s="275"/>
    </row>
    <row r="32" spans="1:13" ht="16.5" customHeight="1">
      <c r="B32" s="265" t="s">
        <v>1715</v>
      </c>
      <c r="C32" s="263" t="s">
        <v>436</v>
      </c>
      <c r="D32" s="263">
        <v>1</v>
      </c>
      <c r="E32" s="171">
        <v>37922</v>
      </c>
      <c r="F32" s="264">
        <v>7795250</v>
      </c>
      <c r="G32" s="268">
        <v>114216440</v>
      </c>
      <c r="H32" s="264"/>
      <c r="I32" s="264">
        <v>1</v>
      </c>
      <c r="J32" s="272">
        <v>40674</v>
      </c>
      <c r="K32" s="264"/>
      <c r="L32" s="264"/>
      <c r="M32" s="275"/>
    </row>
    <row r="33" spans="2:13" ht="16.5" customHeight="1">
      <c r="B33" s="265" t="s">
        <v>1716</v>
      </c>
      <c r="C33" s="263" t="s">
        <v>437</v>
      </c>
      <c r="D33" s="263">
        <v>1</v>
      </c>
      <c r="E33" s="171">
        <v>41155</v>
      </c>
      <c r="F33" s="264">
        <v>5878380</v>
      </c>
      <c r="G33" s="268">
        <v>78399880</v>
      </c>
      <c r="H33" s="264"/>
      <c r="I33" s="264">
        <v>1</v>
      </c>
      <c r="J33" s="272"/>
      <c r="K33" s="264"/>
      <c r="L33" s="264"/>
      <c r="M33" s="275"/>
    </row>
    <row r="34" spans="2:13" ht="16.5" customHeight="1">
      <c r="B34" s="265" t="s">
        <v>1717</v>
      </c>
      <c r="C34" s="263" t="s">
        <v>438</v>
      </c>
      <c r="D34" s="263">
        <v>2</v>
      </c>
      <c r="E34" s="171">
        <v>40658</v>
      </c>
      <c r="F34" s="264">
        <v>4546100</v>
      </c>
      <c r="G34" s="268">
        <v>66821450</v>
      </c>
      <c r="H34" s="264"/>
      <c r="I34" s="264">
        <v>1</v>
      </c>
      <c r="J34" s="272"/>
      <c r="K34" s="264"/>
      <c r="L34" s="264"/>
      <c r="M34" s="275"/>
    </row>
    <row r="35" spans="2:13" ht="16.5" customHeight="1">
      <c r="B35" s="265" t="s">
        <v>1718</v>
      </c>
      <c r="C35" s="263" t="s">
        <v>439</v>
      </c>
      <c r="D35" s="263">
        <v>2</v>
      </c>
      <c r="E35" s="171">
        <v>43549</v>
      </c>
      <c r="F35" s="264">
        <v>3650000</v>
      </c>
      <c r="G35" s="268">
        <v>24740000</v>
      </c>
      <c r="H35" s="264"/>
      <c r="I35" s="264">
        <v>1</v>
      </c>
      <c r="J35" s="272"/>
      <c r="K35" s="264"/>
      <c r="L35" s="264"/>
      <c r="M35" s="275"/>
    </row>
    <row r="36" spans="2:13" ht="16.5" customHeight="1">
      <c r="B36" s="265" t="s">
        <v>1719</v>
      </c>
      <c r="C36" s="263" t="s">
        <v>440</v>
      </c>
      <c r="D36" s="263">
        <v>2</v>
      </c>
      <c r="E36" s="171">
        <v>43549</v>
      </c>
      <c r="F36" s="264">
        <v>3650000</v>
      </c>
      <c r="G36" s="268">
        <v>24740000</v>
      </c>
      <c r="H36" s="264"/>
      <c r="I36" s="264">
        <v>1</v>
      </c>
      <c r="J36" s="272"/>
      <c r="K36" s="264"/>
      <c r="L36" s="264"/>
      <c r="M36" s="275"/>
    </row>
    <row r="37" spans="2:13" ht="16.5" customHeight="1">
      <c r="B37" s="265" t="s">
        <v>1720</v>
      </c>
      <c r="C37" s="263" t="s">
        <v>441</v>
      </c>
      <c r="D37" s="263">
        <v>2</v>
      </c>
      <c r="E37" s="171">
        <v>43880</v>
      </c>
      <c r="F37" s="264">
        <v>2792970</v>
      </c>
      <c r="G37" s="268">
        <v>16398180</v>
      </c>
      <c r="H37" s="264"/>
      <c r="I37" s="264">
        <v>1</v>
      </c>
      <c r="J37" s="272"/>
      <c r="K37" s="264"/>
      <c r="L37" s="264"/>
      <c r="M37" s="275"/>
    </row>
    <row r="38" spans="2:13" ht="16.5" customHeight="1">
      <c r="B38" s="265" t="s">
        <v>1721</v>
      </c>
      <c r="C38" s="263" t="s">
        <v>442</v>
      </c>
      <c r="D38" s="263">
        <v>2</v>
      </c>
      <c r="E38" s="171">
        <v>44179</v>
      </c>
      <c r="F38" s="264">
        <v>2783310</v>
      </c>
      <c r="G38" s="268">
        <v>14061440</v>
      </c>
      <c r="H38" s="264"/>
      <c r="I38" s="264">
        <v>1</v>
      </c>
      <c r="J38" s="272"/>
      <c r="K38" s="264"/>
      <c r="L38" s="264"/>
      <c r="M38" s="275"/>
    </row>
    <row r="39" spans="2:13" ht="16.5" customHeight="1">
      <c r="B39" s="265" t="s">
        <v>1722</v>
      </c>
      <c r="C39" s="263" t="s">
        <v>443</v>
      </c>
      <c r="D39" s="263">
        <v>1</v>
      </c>
      <c r="E39" s="171">
        <v>44279</v>
      </c>
      <c r="F39" s="264">
        <v>5427350</v>
      </c>
      <c r="G39" s="268">
        <v>25932330</v>
      </c>
      <c r="H39" s="264"/>
      <c r="I39" s="264">
        <v>1</v>
      </c>
      <c r="J39" s="272"/>
      <c r="K39" s="264"/>
      <c r="L39" s="264"/>
      <c r="M39" s="275"/>
    </row>
    <row r="40" spans="2:13" ht="16.5" customHeight="1">
      <c r="B40" s="265" t="s">
        <v>1723</v>
      </c>
      <c r="C40" s="263" t="s">
        <v>444</v>
      </c>
      <c r="D40" s="263">
        <v>2</v>
      </c>
      <c r="E40" s="171">
        <v>44279</v>
      </c>
      <c r="F40" s="264">
        <v>3959600</v>
      </c>
      <c r="G40" s="268">
        <v>18919300</v>
      </c>
      <c r="H40" s="264"/>
      <c r="I40" s="264">
        <v>1</v>
      </c>
      <c r="J40" s="272"/>
      <c r="K40" s="264"/>
      <c r="L40" s="264"/>
      <c r="M40" s="275"/>
    </row>
    <row r="41" spans="2:13" ht="16.5" customHeight="1">
      <c r="B41" s="265" t="s">
        <v>1724</v>
      </c>
      <c r="C41" s="263" t="s">
        <v>445</v>
      </c>
      <c r="D41" s="263">
        <v>1</v>
      </c>
      <c r="E41" s="171">
        <v>44130</v>
      </c>
      <c r="F41" s="264">
        <v>2830920</v>
      </c>
      <c r="G41" s="268">
        <v>14682010</v>
      </c>
      <c r="H41" s="264"/>
      <c r="I41" s="264">
        <v>1</v>
      </c>
      <c r="J41" s="272"/>
      <c r="K41" s="264"/>
      <c r="L41" s="264"/>
      <c r="M41" s="275"/>
    </row>
    <row r="42" spans="2:13" ht="16.5" customHeight="1">
      <c r="B42" s="265" t="s">
        <v>1725</v>
      </c>
      <c r="C42" s="263" t="s">
        <v>446</v>
      </c>
      <c r="D42" s="263">
        <v>2</v>
      </c>
      <c r="E42" s="171">
        <v>44743</v>
      </c>
      <c r="F42" s="264">
        <v>4613350</v>
      </c>
      <c r="G42" s="268">
        <v>16178330</v>
      </c>
      <c r="H42" s="264"/>
      <c r="I42" s="264">
        <v>1</v>
      </c>
      <c r="J42" s="272"/>
      <c r="K42" s="264"/>
      <c r="L42" s="264"/>
      <c r="M42" s="275"/>
    </row>
    <row r="43" spans="2:13" ht="16.5" customHeight="1">
      <c r="B43" s="265" t="s">
        <v>1726</v>
      </c>
      <c r="C43" s="263" t="s">
        <v>447</v>
      </c>
      <c r="D43" s="263">
        <v>1</v>
      </c>
      <c r="E43" s="171">
        <v>44746</v>
      </c>
      <c r="F43" s="264">
        <v>5067330</v>
      </c>
      <c r="G43" s="268">
        <v>17728720</v>
      </c>
      <c r="H43" s="264"/>
      <c r="I43" s="264">
        <v>1</v>
      </c>
      <c r="J43" s="272"/>
      <c r="K43" s="264"/>
      <c r="L43" s="264"/>
      <c r="M43" s="275"/>
    </row>
    <row r="44" spans="2:13" ht="16.5" customHeight="1">
      <c r="B44" s="265" t="s">
        <v>1727</v>
      </c>
      <c r="C44" s="263" t="s">
        <v>448</v>
      </c>
      <c r="D44" s="263">
        <v>2</v>
      </c>
      <c r="E44" s="171">
        <v>43731</v>
      </c>
      <c r="F44" s="264">
        <v>4003930</v>
      </c>
      <c r="G44" s="268">
        <v>25142490</v>
      </c>
      <c r="H44" s="264"/>
      <c r="I44" s="264">
        <v>1</v>
      </c>
      <c r="J44" s="272"/>
      <c r="K44" s="264"/>
      <c r="L44" s="264"/>
      <c r="M44" s="275"/>
    </row>
    <row r="45" spans="2:13" ht="16.5" customHeight="1">
      <c r="B45" s="265" t="s">
        <v>1728</v>
      </c>
      <c r="C45" s="263" t="s">
        <v>449</v>
      </c>
      <c r="D45" s="263">
        <v>2</v>
      </c>
      <c r="E45" s="171">
        <v>45419</v>
      </c>
      <c r="F45" s="264">
        <v>3083340</v>
      </c>
      <c r="G45" s="268">
        <v>5102300</v>
      </c>
      <c r="H45" s="264"/>
      <c r="I45" s="264">
        <v>1</v>
      </c>
      <c r="J45" s="272"/>
      <c r="K45" s="264"/>
      <c r="L45" s="264"/>
      <c r="M45" s="275"/>
    </row>
    <row r="46" spans="2:13" ht="16.5" customHeight="1">
      <c r="B46" s="265" t="s">
        <v>1729</v>
      </c>
      <c r="C46" s="263" t="s">
        <v>450</v>
      </c>
      <c r="D46" s="263">
        <v>2</v>
      </c>
      <c r="E46" s="171">
        <v>45026</v>
      </c>
      <c r="F46" s="264">
        <v>2755622.5</v>
      </c>
      <c r="G46" s="268">
        <v>7527010</v>
      </c>
      <c r="H46" s="264"/>
      <c r="I46" s="264">
        <v>1</v>
      </c>
      <c r="J46" s="272"/>
      <c r="K46" s="264"/>
      <c r="L46" s="264"/>
      <c r="M46" s="275"/>
    </row>
    <row r="47" spans="2:13" ht="16.5" customHeight="1">
      <c r="B47" s="265" t="s">
        <v>1730</v>
      </c>
      <c r="C47" s="263" t="s">
        <v>451</v>
      </c>
      <c r="D47" s="263">
        <v>2</v>
      </c>
      <c r="E47" s="171">
        <v>44186</v>
      </c>
      <c r="F47" s="264">
        <v>2757847.5</v>
      </c>
      <c r="G47" s="268">
        <v>13879910</v>
      </c>
      <c r="H47" s="264"/>
      <c r="I47" s="264">
        <v>1</v>
      </c>
      <c r="J47" s="272"/>
      <c r="K47" s="264"/>
      <c r="L47" s="264"/>
      <c r="M47" s="275"/>
    </row>
    <row r="48" spans="2:13" ht="16.5" customHeight="1">
      <c r="B48" s="265" t="s">
        <v>1731</v>
      </c>
      <c r="C48" s="263" t="s">
        <v>452</v>
      </c>
      <c r="D48" s="263">
        <v>2</v>
      </c>
      <c r="E48" s="171">
        <v>44245</v>
      </c>
      <c r="F48" s="264">
        <v>2799872.5</v>
      </c>
      <c r="G48" s="268">
        <v>7716910</v>
      </c>
      <c r="H48" s="264"/>
      <c r="I48" s="264">
        <v>1</v>
      </c>
      <c r="J48" s="272">
        <v>45016</v>
      </c>
      <c r="K48" s="264"/>
      <c r="L48" s="264"/>
      <c r="M48" s="275"/>
    </row>
    <row r="49" spans="2:13" ht="16.5" customHeight="1">
      <c r="B49" s="265" t="s">
        <v>1732</v>
      </c>
      <c r="C49" s="263" t="s">
        <v>453</v>
      </c>
      <c r="D49" s="263">
        <v>2</v>
      </c>
      <c r="E49" s="171">
        <v>45245</v>
      </c>
      <c r="F49" s="264">
        <v>2709282.5</v>
      </c>
      <c r="G49" s="268">
        <v>5774860</v>
      </c>
      <c r="H49" s="264"/>
      <c r="I49" s="264">
        <v>1</v>
      </c>
      <c r="J49" s="272"/>
      <c r="K49" s="264"/>
      <c r="L49" s="264"/>
      <c r="M49" s="275"/>
    </row>
    <row r="50" spans="2:13" ht="16.5" customHeight="1">
      <c r="B50" s="265" t="s">
        <v>1733</v>
      </c>
      <c r="C50" s="263" t="s">
        <v>454</v>
      </c>
      <c r="D50" s="263">
        <v>1</v>
      </c>
      <c r="E50" s="171">
        <v>43619</v>
      </c>
      <c r="F50" s="264">
        <v>5066413.333333333</v>
      </c>
      <c r="G50" s="268">
        <v>33368930</v>
      </c>
      <c r="H50" s="264"/>
      <c r="I50" s="264">
        <v>1</v>
      </c>
      <c r="J50" s="272"/>
      <c r="K50" s="264"/>
      <c r="L50" s="264"/>
      <c r="M50" s="275"/>
    </row>
    <row r="51" spans="2:13" ht="16.5" customHeight="1">
      <c r="B51" s="265" t="s">
        <v>1734</v>
      </c>
      <c r="C51" s="263" t="s">
        <v>455</v>
      </c>
      <c r="D51" s="263">
        <v>1</v>
      </c>
      <c r="E51" s="171">
        <v>43864</v>
      </c>
      <c r="F51" s="264">
        <v>3891630</v>
      </c>
      <c r="G51" s="268">
        <v>23019260</v>
      </c>
      <c r="H51" s="264"/>
      <c r="I51" s="264">
        <v>1</v>
      </c>
      <c r="J51" s="272"/>
      <c r="K51" s="264"/>
      <c r="L51" s="264"/>
      <c r="M51" s="275"/>
    </row>
    <row r="52" spans="2:13" ht="16.5" customHeight="1">
      <c r="B52" s="265" t="s">
        <v>1735</v>
      </c>
      <c r="C52" s="263" t="s">
        <v>456</v>
      </c>
      <c r="D52" s="263">
        <v>2</v>
      </c>
      <c r="E52" s="171">
        <v>44608</v>
      </c>
      <c r="F52" s="264">
        <v>3210100</v>
      </c>
      <c r="G52" s="268">
        <v>12444640</v>
      </c>
      <c r="H52" s="264"/>
      <c r="I52" s="264">
        <v>1</v>
      </c>
      <c r="J52" s="272"/>
      <c r="K52" s="264"/>
      <c r="L52" s="264"/>
      <c r="M52" s="275"/>
    </row>
    <row r="53" spans="2:13" ht="16.5" customHeight="1">
      <c r="B53" s="265" t="s">
        <v>1736</v>
      </c>
      <c r="C53" s="263" t="s">
        <v>457</v>
      </c>
      <c r="D53" s="263">
        <v>2</v>
      </c>
      <c r="E53" s="171">
        <v>45509</v>
      </c>
      <c r="F53" s="264">
        <v>3068750</v>
      </c>
      <c r="G53" s="268">
        <v>4321480</v>
      </c>
      <c r="H53" s="264"/>
      <c r="I53" s="264">
        <v>1</v>
      </c>
      <c r="J53" s="272"/>
      <c r="K53" s="264"/>
      <c r="L53" s="264"/>
      <c r="M53" s="275"/>
    </row>
    <row r="54" spans="2:13" ht="16.5" customHeight="1">
      <c r="B54" s="265" t="s">
        <v>1737</v>
      </c>
      <c r="C54" s="263" t="s">
        <v>458</v>
      </c>
      <c r="D54" s="263">
        <v>1</v>
      </c>
      <c r="E54" s="171">
        <v>45012</v>
      </c>
      <c r="F54" s="264">
        <v>7269000</v>
      </c>
      <c r="G54" s="268">
        <v>20134140</v>
      </c>
      <c r="H54" s="264"/>
      <c r="I54" s="264">
        <v>1</v>
      </c>
      <c r="J54" s="272"/>
      <c r="K54" s="264"/>
      <c r="L54" s="264"/>
      <c r="M54" s="275"/>
    </row>
    <row r="55" spans="2:13" ht="16.5" customHeight="1">
      <c r="B55" s="265" t="s">
        <v>1738</v>
      </c>
      <c r="C55" s="263" t="s">
        <v>459</v>
      </c>
      <c r="D55" s="263">
        <v>1</v>
      </c>
      <c r="E55" s="171">
        <v>41683</v>
      </c>
      <c r="F55" s="264">
        <v>4210330</v>
      </c>
      <c r="G55" s="268">
        <v>20025030</v>
      </c>
      <c r="H55" s="264"/>
      <c r="I55" s="264">
        <v>1</v>
      </c>
      <c r="J55" s="272">
        <v>44286</v>
      </c>
      <c r="K55" s="264"/>
      <c r="L55" s="264"/>
      <c r="M55" s="275"/>
    </row>
    <row r="56" spans="2:13" ht="16.5" customHeight="1">
      <c r="B56" s="265" t="s">
        <v>1739</v>
      </c>
      <c r="C56" s="263" t="s">
        <v>460</v>
      </c>
      <c r="D56" s="263">
        <v>2</v>
      </c>
      <c r="E56" s="171">
        <v>40070</v>
      </c>
      <c r="F56" s="264">
        <v>4668000</v>
      </c>
      <c r="G56" s="268">
        <v>12482110</v>
      </c>
      <c r="H56" s="264"/>
      <c r="I56" s="264">
        <v>1</v>
      </c>
      <c r="J56" s="272">
        <v>45046</v>
      </c>
      <c r="K56" s="264"/>
      <c r="L56" s="264"/>
      <c r="M56" s="275"/>
    </row>
    <row r="57" spans="2:13" ht="16.5" customHeight="1">
      <c r="B57" s="265" t="s">
        <v>1740</v>
      </c>
      <c r="C57" s="263" t="s">
        <v>461</v>
      </c>
      <c r="D57" s="263">
        <v>1</v>
      </c>
      <c r="E57" s="171">
        <v>43850</v>
      </c>
      <c r="F57" s="264">
        <v>3557388.3333333335</v>
      </c>
      <c r="G57" s="268">
        <v>21178650</v>
      </c>
      <c r="H57" s="264"/>
      <c r="I57" s="264">
        <v>1</v>
      </c>
      <c r="J57" s="272"/>
      <c r="K57" s="264"/>
      <c r="L57" s="264"/>
      <c r="M57" s="275"/>
    </row>
    <row r="58" spans="2:13" ht="16.5" customHeight="1">
      <c r="B58" s="265" t="s">
        <v>1741</v>
      </c>
      <c r="C58" s="263" t="s">
        <v>462</v>
      </c>
      <c r="D58" s="263">
        <v>1</v>
      </c>
      <c r="E58" s="171">
        <v>44207</v>
      </c>
      <c r="F58" s="264">
        <v>3461410</v>
      </c>
      <c r="G58" s="268">
        <v>17221710</v>
      </c>
      <c r="H58" s="264"/>
      <c r="I58" s="264">
        <v>1</v>
      </c>
      <c r="J58" s="272"/>
      <c r="K58" s="264"/>
      <c r="L58" s="264"/>
      <c r="M58" s="275"/>
    </row>
    <row r="59" spans="2:13" ht="16.5" customHeight="1">
      <c r="B59" s="265" t="s">
        <v>1742</v>
      </c>
      <c r="C59" s="263" t="s">
        <v>463</v>
      </c>
      <c r="D59" s="263">
        <v>2</v>
      </c>
      <c r="E59" s="171">
        <v>44595</v>
      </c>
      <c r="F59" s="264">
        <v>2947551.6666666665</v>
      </c>
      <c r="G59" s="268">
        <v>11531800</v>
      </c>
      <c r="H59" s="264"/>
      <c r="I59" s="264">
        <v>1</v>
      </c>
      <c r="J59" s="272"/>
      <c r="K59" s="264"/>
      <c r="L59" s="264"/>
      <c r="M59" s="275"/>
    </row>
    <row r="60" spans="2:13" ht="16.5" customHeight="1">
      <c r="B60" s="265" t="s">
        <v>1743</v>
      </c>
      <c r="C60" s="263" t="s">
        <v>464</v>
      </c>
      <c r="D60" s="263">
        <v>2</v>
      </c>
      <c r="E60" s="171">
        <v>45203</v>
      </c>
      <c r="F60" s="264">
        <v>2444946.6666666665</v>
      </c>
      <c r="G60" s="268">
        <v>5492760</v>
      </c>
      <c r="H60" s="264"/>
      <c r="I60" s="264">
        <v>1</v>
      </c>
      <c r="J60" s="272"/>
      <c r="K60" s="264"/>
      <c r="L60" s="264"/>
      <c r="M60" s="275"/>
    </row>
    <row r="61" spans="2:13" ht="16.5" customHeight="1">
      <c r="B61" s="265" t="s">
        <v>1744</v>
      </c>
      <c r="C61" s="263" t="s">
        <v>465</v>
      </c>
      <c r="D61" s="263">
        <v>1</v>
      </c>
      <c r="E61" s="171">
        <v>40030</v>
      </c>
      <c r="F61" s="264">
        <v>6295195.833333333</v>
      </c>
      <c r="G61" s="268">
        <v>10520740</v>
      </c>
      <c r="H61" s="264"/>
      <c r="I61" s="264">
        <v>1</v>
      </c>
      <c r="J61" s="272">
        <v>45412</v>
      </c>
      <c r="K61" s="264"/>
      <c r="L61" s="264"/>
      <c r="M61" s="275"/>
    </row>
    <row r="62" spans="2:13" ht="16.5" customHeight="1">
      <c r="B62" s="265" t="s">
        <v>1745</v>
      </c>
      <c r="C62" s="263" t="s">
        <v>466</v>
      </c>
      <c r="D62" s="263">
        <v>1</v>
      </c>
      <c r="E62" s="171">
        <v>41338</v>
      </c>
      <c r="F62" s="264">
        <v>5504115</v>
      </c>
      <c r="G62" s="268">
        <v>44063080</v>
      </c>
      <c r="H62" s="264"/>
      <c r="I62" s="264">
        <v>1</v>
      </c>
      <c r="J62" s="272">
        <v>43100</v>
      </c>
      <c r="K62" s="264"/>
      <c r="L62" s="264"/>
      <c r="M62" s="275"/>
    </row>
    <row r="63" spans="2:13" ht="16.5" customHeight="1">
      <c r="B63" s="265" t="s">
        <v>1746</v>
      </c>
      <c r="C63" s="263" t="s">
        <v>467</v>
      </c>
      <c r="D63" s="263">
        <v>1</v>
      </c>
      <c r="E63" s="171">
        <v>44091</v>
      </c>
      <c r="F63" s="264">
        <v>4905195</v>
      </c>
      <c r="G63" s="268">
        <v>25963940</v>
      </c>
      <c r="H63" s="264"/>
      <c r="I63" s="264">
        <v>1</v>
      </c>
      <c r="J63" s="272"/>
      <c r="K63" s="264"/>
      <c r="L63" s="264"/>
      <c r="M63" s="275"/>
    </row>
    <row r="64" spans="2:13" ht="16.5" customHeight="1">
      <c r="B64" s="265" t="s">
        <v>1747</v>
      </c>
      <c r="C64" s="263" t="s">
        <v>468</v>
      </c>
      <c r="D64" s="263">
        <v>1</v>
      </c>
      <c r="E64" s="171">
        <v>43887</v>
      </c>
      <c r="F64" s="264">
        <v>4069001.6666666665</v>
      </c>
      <c r="G64" s="268">
        <v>23812030</v>
      </c>
      <c r="H64" s="264"/>
      <c r="I64" s="264">
        <v>1</v>
      </c>
      <c r="J64" s="272"/>
      <c r="K64" s="264"/>
      <c r="L64" s="264"/>
      <c r="M64" s="275"/>
    </row>
    <row r="65" spans="2:13" ht="16.5" customHeight="1">
      <c r="B65" s="265" t="s">
        <v>1748</v>
      </c>
      <c r="C65" s="263" t="s">
        <v>469</v>
      </c>
      <c r="D65" s="263">
        <v>1</v>
      </c>
      <c r="E65" s="171">
        <v>44263</v>
      </c>
      <c r="F65" s="264">
        <v>2904336.6666666665</v>
      </c>
      <c r="G65" s="268">
        <v>14004480</v>
      </c>
      <c r="H65" s="264"/>
      <c r="I65" s="264">
        <v>1</v>
      </c>
      <c r="J65" s="272"/>
      <c r="K65" s="264"/>
      <c r="L65" s="264"/>
      <c r="M65" s="275"/>
    </row>
    <row r="66" spans="2:13" ht="16.5" customHeight="1">
      <c r="B66" s="265" t="s">
        <v>1749</v>
      </c>
      <c r="C66" s="263" t="s">
        <v>470</v>
      </c>
      <c r="D66" s="263">
        <v>1</v>
      </c>
      <c r="E66" s="171">
        <v>44375</v>
      </c>
      <c r="F66" s="264">
        <v>2906404.1666666665</v>
      </c>
      <c r="G66" s="268">
        <v>13122620</v>
      </c>
      <c r="H66" s="264"/>
      <c r="I66" s="264">
        <v>1</v>
      </c>
      <c r="J66" s="272"/>
      <c r="K66" s="264"/>
      <c r="L66" s="264"/>
      <c r="M66" s="275"/>
    </row>
    <row r="67" spans="2:13" ht="16.5" customHeight="1">
      <c r="B67" s="265" t="s">
        <v>1750</v>
      </c>
      <c r="C67" s="263" t="s">
        <v>471</v>
      </c>
      <c r="D67" s="263">
        <v>1</v>
      </c>
      <c r="E67" s="171">
        <v>44627</v>
      </c>
      <c r="F67" s="264">
        <v>4568965.833333334</v>
      </c>
      <c r="G67" s="268">
        <v>17474730</v>
      </c>
      <c r="H67" s="264"/>
      <c r="I67" s="264">
        <v>1</v>
      </c>
      <c r="J67" s="272"/>
      <c r="K67" s="264"/>
      <c r="L67" s="264"/>
      <c r="M67" s="275"/>
    </row>
    <row r="68" spans="2:13" ht="16.5" customHeight="1">
      <c r="B68" s="265" t="s">
        <v>1751</v>
      </c>
      <c r="C68" s="263" t="s">
        <v>472</v>
      </c>
      <c r="D68" s="263">
        <v>2</v>
      </c>
      <c r="E68" s="171">
        <v>41855</v>
      </c>
      <c r="F68" s="264">
        <v>4258968.333333333</v>
      </c>
      <c r="G68" s="268">
        <v>29031000</v>
      </c>
      <c r="H68" s="264"/>
      <c r="I68" s="264">
        <v>1</v>
      </c>
      <c r="J68" s="272">
        <v>43534</v>
      </c>
      <c r="K68" s="264"/>
      <c r="L68" s="264"/>
      <c r="M68" s="275"/>
    </row>
    <row r="69" spans="2:13" ht="16.5" customHeight="1">
      <c r="B69" s="265" t="s">
        <v>1752</v>
      </c>
      <c r="C69" s="263" t="s">
        <v>473</v>
      </c>
      <c r="D69" s="263">
        <v>2</v>
      </c>
      <c r="E69" s="171">
        <v>43794</v>
      </c>
      <c r="F69" s="264">
        <v>3650000</v>
      </c>
      <c r="G69" s="268">
        <v>22290000</v>
      </c>
      <c r="H69" s="264"/>
      <c r="I69" s="264">
        <v>1</v>
      </c>
      <c r="J69" s="272"/>
      <c r="K69" s="264"/>
      <c r="L69" s="264"/>
      <c r="M69" s="275"/>
    </row>
    <row r="70" spans="2:13" ht="16.5" customHeight="1">
      <c r="B70" s="265" t="s">
        <v>1753</v>
      </c>
      <c r="C70" s="263" t="s">
        <v>474</v>
      </c>
      <c r="D70" s="263">
        <v>1</v>
      </c>
      <c r="E70" s="171">
        <v>44095</v>
      </c>
      <c r="F70" s="264">
        <v>3762060</v>
      </c>
      <c r="G70" s="268">
        <v>19871930</v>
      </c>
      <c r="H70" s="264"/>
      <c r="I70" s="264">
        <v>1</v>
      </c>
      <c r="J70" s="272"/>
      <c r="K70" s="264"/>
      <c r="L70" s="264"/>
      <c r="M70" s="275"/>
    </row>
    <row r="71" spans="2:13" ht="16.5" customHeight="1">
      <c r="B71" s="265" t="s">
        <v>1754</v>
      </c>
      <c r="C71" s="263" t="s">
        <v>475</v>
      </c>
      <c r="D71" s="263">
        <v>2</v>
      </c>
      <c r="E71" s="171">
        <v>45546</v>
      </c>
      <c r="F71" s="264">
        <v>2750000</v>
      </c>
      <c r="G71" s="268">
        <v>3593840</v>
      </c>
      <c r="H71" s="264"/>
      <c r="I71" s="264">
        <v>1</v>
      </c>
      <c r="J71" s="272"/>
      <c r="K71" s="264"/>
      <c r="L71" s="264"/>
      <c r="M71" s="275"/>
    </row>
    <row r="72" spans="2:13" ht="16.5" customHeight="1">
      <c r="B72" s="265" t="s">
        <v>1755</v>
      </c>
      <c r="C72" s="263" t="s">
        <v>476</v>
      </c>
      <c r="D72" s="263">
        <v>2</v>
      </c>
      <c r="E72" s="171">
        <v>45558</v>
      </c>
      <c r="F72" s="264">
        <v>4333340</v>
      </c>
      <c r="G72" s="268">
        <v>5520560</v>
      </c>
      <c r="H72" s="264"/>
      <c r="I72" s="264">
        <v>1</v>
      </c>
      <c r="J72" s="272"/>
      <c r="K72" s="264"/>
      <c r="L72" s="264"/>
      <c r="M72" s="275"/>
    </row>
    <row r="73" spans="2:13" ht="16.5" customHeight="1">
      <c r="B73" s="265" t="s">
        <v>1756</v>
      </c>
      <c r="C73" s="263" t="s">
        <v>477</v>
      </c>
      <c r="D73" s="263">
        <v>2</v>
      </c>
      <c r="E73" s="171">
        <v>43851</v>
      </c>
      <c r="F73" s="264">
        <v>4522620</v>
      </c>
      <c r="G73" s="268">
        <v>26912690</v>
      </c>
      <c r="H73" s="264"/>
      <c r="I73" s="264">
        <v>1</v>
      </c>
      <c r="J73" s="272"/>
      <c r="K73" s="264"/>
      <c r="L73" s="264"/>
      <c r="M73" s="275"/>
    </row>
    <row r="74" spans="2:13" ht="16.5" customHeight="1">
      <c r="B74" s="265" t="s">
        <v>1757</v>
      </c>
      <c r="C74" s="263" t="s">
        <v>478</v>
      </c>
      <c r="D74" s="263">
        <v>1</v>
      </c>
      <c r="E74" s="171">
        <v>44511</v>
      </c>
      <c r="F74" s="264">
        <v>5533710</v>
      </c>
      <c r="G74" s="268">
        <v>22923210</v>
      </c>
      <c r="H74" s="264"/>
      <c r="I74" s="264">
        <v>1</v>
      </c>
      <c r="J74" s="272"/>
      <c r="K74" s="264"/>
      <c r="L74" s="264"/>
      <c r="M74" s="275"/>
    </row>
    <row r="75" spans="2:13" ht="16.5" customHeight="1">
      <c r="B75" s="265" t="s">
        <v>1758</v>
      </c>
      <c r="C75" s="263" t="s">
        <v>479</v>
      </c>
      <c r="D75" s="263">
        <v>2</v>
      </c>
      <c r="E75" s="171">
        <v>40945</v>
      </c>
      <c r="F75" s="264">
        <v>4199850</v>
      </c>
      <c r="G75" s="268">
        <v>2819080</v>
      </c>
      <c r="H75" s="264"/>
      <c r="I75" s="264">
        <v>1</v>
      </c>
      <c r="J75" s="272">
        <v>45777</v>
      </c>
      <c r="K75" s="264">
        <v>56914920</v>
      </c>
      <c r="L75" s="264"/>
      <c r="M75" s="275"/>
    </row>
    <row r="76" spans="2:13" ht="16.5" customHeight="1">
      <c r="B76" s="265" t="s">
        <v>1759</v>
      </c>
      <c r="C76" s="263" t="s">
        <v>480</v>
      </c>
      <c r="D76" s="263">
        <v>1</v>
      </c>
      <c r="E76" s="171">
        <v>42310</v>
      </c>
      <c r="F76" s="264">
        <v>4633080</v>
      </c>
      <c r="G76" s="268">
        <v>47130490</v>
      </c>
      <c r="H76" s="264"/>
      <c r="I76" s="264">
        <v>1</v>
      </c>
      <c r="J76" s="272"/>
      <c r="K76" s="264"/>
      <c r="L76" s="264"/>
      <c r="M76" s="275"/>
    </row>
    <row r="77" spans="2:13" ht="16.5" customHeight="1">
      <c r="B77" s="265" t="s">
        <v>1760</v>
      </c>
      <c r="C77" s="263" t="s">
        <v>481</v>
      </c>
      <c r="D77" s="263">
        <v>1</v>
      </c>
      <c r="E77" s="171">
        <v>44354</v>
      </c>
      <c r="F77" s="264">
        <v>3862620</v>
      </c>
      <c r="G77" s="268">
        <v>17662230</v>
      </c>
      <c r="H77" s="264"/>
      <c r="I77" s="264">
        <v>1</v>
      </c>
      <c r="J77" s="272"/>
      <c r="K77" s="264"/>
      <c r="L77" s="264"/>
      <c r="M77" s="275"/>
    </row>
    <row r="78" spans="2:13" ht="16.5" customHeight="1">
      <c r="B78" s="265" t="s">
        <v>1761</v>
      </c>
      <c r="C78" s="263" t="s">
        <v>482</v>
      </c>
      <c r="D78" s="263">
        <v>2</v>
      </c>
      <c r="E78" s="171">
        <v>44396</v>
      </c>
      <c r="F78" s="264">
        <v>3462420</v>
      </c>
      <c r="G78" s="268">
        <v>15433860</v>
      </c>
      <c r="H78" s="264"/>
      <c r="I78" s="264">
        <v>1</v>
      </c>
      <c r="J78" s="272"/>
      <c r="K78" s="264"/>
      <c r="L78" s="264"/>
      <c r="M78" s="275"/>
    </row>
    <row r="79" spans="2:13" ht="16.5" customHeight="1">
      <c r="B79" s="265" t="s">
        <v>1762</v>
      </c>
      <c r="C79" s="263" t="s">
        <v>483</v>
      </c>
      <c r="D79" s="263">
        <v>1</v>
      </c>
      <c r="E79" s="171">
        <v>44403</v>
      </c>
      <c r="F79" s="264">
        <v>3777330</v>
      </c>
      <c r="G79" s="268">
        <v>16765140</v>
      </c>
      <c r="H79" s="264"/>
      <c r="I79" s="264">
        <v>1</v>
      </c>
      <c r="J79" s="272"/>
      <c r="K79" s="264"/>
      <c r="L79" s="264"/>
      <c r="M79" s="275"/>
    </row>
    <row r="80" spans="2:13" ht="16.5" customHeight="1">
      <c r="B80" s="265" t="s">
        <v>1763</v>
      </c>
      <c r="C80" s="263" t="s">
        <v>484</v>
      </c>
      <c r="D80" s="263">
        <v>1</v>
      </c>
      <c r="E80" s="171">
        <v>44256</v>
      </c>
      <c r="F80" s="264">
        <v>932640</v>
      </c>
      <c r="G80" s="268">
        <v>4515000</v>
      </c>
      <c r="H80" s="264"/>
      <c r="I80" s="264">
        <v>1</v>
      </c>
      <c r="J80" s="272"/>
      <c r="K80" s="264"/>
      <c r="L80" s="264"/>
      <c r="M80" s="275"/>
    </row>
    <row r="81" spans="2:13" ht="16.5" customHeight="1">
      <c r="B81" s="265" t="s">
        <v>1764</v>
      </c>
      <c r="C81" s="263" t="s">
        <v>485</v>
      </c>
      <c r="D81" s="263">
        <v>1</v>
      </c>
      <c r="E81" s="171">
        <v>44593</v>
      </c>
      <c r="F81" s="264">
        <v>932640</v>
      </c>
      <c r="G81" s="268">
        <v>3653910</v>
      </c>
      <c r="H81" s="264"/>
      <c r="I81" s="264">
        <v>1</v>
      </c>
      <c r="J81" s="272"/>
      <c r="K81" s="264"/>
      <c r="L81" s="264"/>
      <c r="M81" s="275"/>
    </row>
    <row r="82" spans="2:13" ht="16.5" customHeight="1">
      <c r="B82" s="265" t="s">
        <v>1765</v>
      </c>
      <c r="C82" s="263" t="s">
        <v>486</v>
      </c>
      <c r="D82" s="263">
        <v>1</v>
      </c>
      <c r="E82" s="171">
        <v>45203</v>
      </c>
      <c r="F82" s="264">
        <v>932640</v>
      </c>
      <c r="G82" s="268">
        <v>2095250</v>
      </c>
      <c r="H82" s="264"/>
      <c r="I82" s="264">
        <v>1</v>
      </c>
      <c r="J82" s="272"/>
      <c r="K82" s="264"/>
      <c r="L82" s="264"/>
      <c r="M82" s="275"/>
    </row>
    <row r="83" spans="2:13" ht="16.5" customHeight="1">
      <c r="B83" s="265" t="s">
        <v>1766</v>
      </c>
      <c r="C83" s="263" t="s">
        <v>487</v>
      </c>
      <c r="D83" s="263">
        <v>2</v>
      </c>
      <c r="E83" s="171">
        <v>45203</v>
      </c>
      <c r="F83" s="264">
        <v>932640</v>
      </c>
      <c r="G83" s="268">
        <v>2095250</v>
      </c>
      <c r="H83" s="264"/>
      <c r="I83" s="264">
        <v>1</v>
      </c>
      <c r="J83" s="272"/>
      <c r="K83" s="264"/>
      <c r="L83" s="264"/>
      <c r="M83" s="275"/>
    </row>
    <row r="84" spans="2:13" ht="16.5" customHeight="1">
      <c r="B84" s="265" t="s">
        <v>1767</v>
      </c>
      <c r="C84" s="263" t="s">
        <v>488</v>
      </c>
      <c r="D84" s="263">
        <v>1</v>
      </c>
      <c r="E84" s="171">
        <v>44340</v>
      </c>
      <c r="F84" s="264">
        <v>8514970</v>
      </c>
      <c r="G84" s="268">
        <v>39262180</v>
      </c>
      <c r="H84" s="264"/>
      <c r="I84" s="264">
        <v>1</v>
      </c>
      <c r="J84" s="272"/>
      <c r="K84" s="264"/>
      <c r="L84" s="264"/>
      <c r="M84" s="275"/>
    </row>
    <row r="85" spans="2:13" ht="16.5" customHeight="1">
      <c r="B85" s="265" t="s">
        <v>1768</v>
      </c>
      <c r="C85" s="263" t="s">
        <v>489</v>
      </c>
      <c r="D85" s="263">
        <v>2</v>
      </c>
      <c r="E85" s="171">
        <v>43990</v>
      </c>
      <c r="F85" s="264">
        <v>4160110</v>
      </c>
      <c r="G85" s="268">
        <v>23171250</v>
      </c>
      <c r="H85" s="264"/>
      <c r="I85" s="264">
        <v>1</v>
      </c>
      <c r="J85" s="272"/>
      <c r="K85" s="264"/>
      <c r="L85" s="264"/>
      <c r="M85" s="275"/>
    </row>
    <row r="86" spans="2:13" ht="16.5" customHeight="1">
      <c r="B86" s="265" t="s">
        <v>1769</v>
      </c>
      <c r="C86" s="263" t="s">
        <v>490</v>
      </c>
      <c r="D86" s="263">
        <v>1</v>
      </c>
      <c r="E86" s="171">
        <v>44414</v>
      </c>
      <c r="F86" s="264">
        <v>3713260</v>
      </c>
      <c r="G86" s="268">
        <v>16368870</v>
      </c>
      <c r="H86" s="264"/>
      <c r="I86" s="264">
        <v>1</v>
      </c>
      <c r="J86" s="272"/>
      <c r="K86" s="264"/>
      <c r="L86" s="264"/>
      <c r="M86" s="275"/>
    </row>
    <row r="87" spans="2:13" ht="16.5" customHeight="1">
      <c r="B87" s="265" t="s">
        <v>1770</v>
      </c>
      <c r="C87" s="263" t="s">
        <v>491</v>
      </c>
      <c r="D87" s="263">
        <v>2</v>
      </c>
      <c r="E87" s="171">
        <v>44414</v>
      </c>
      <c r="F87" s="264">
        <v>3616310</v>
      </c>
      <c r="G87" s="268">
        <v>15941490</v>
      </c>
      <c r="H87" s="264"/>
      <c r="I87" s="264">
        <v>1</v>
      </c>
      <c r="J87" s="272"/>
      <c r="K87" s="264"/>
      <c r="L87" s="264"/>
      <c r="M87" s="275"/>
    </row>
    <row r="88" spans="2:13" ht="16.5" customHeight="1">
      <c r="B88" s="265" t="s">
        <v>1771</v>
      </c>
      <c r="C88" s="263" t="s">
        <v>492</v>
      </c>
      <c r="D88" s="263">
        <v>1</v>
      </c>
      <c r="E88" s="171">
        <v>44627</v>
      </c>
      <c r="F88" s="264">
        <v>4299750</v>
      </c>
      <c r="G88" s="268">
        <v>16445080</v>
      </c>
      <c r="H88" s="264"/>
      <c r="I88" s="264">
        <v>1</v>
      </c>
      <c r="J88" s="272"/>
      <c r="K88" s="264"/>
      <c r="L88" s="264"/>
      <c r="M88" s="275"/>
    </row>
    <row r="89" spans="2:13" ht="16.5" customHeight="1">
      <c r="B89" s="265" t="s">
        <v>1772</v>
      </c>
      <c r="C89" s="263" t="s">
        <v>493</v>
      </c>
      <c r="D89" s="263">
        <v>2</v>
      </c>
      <c r="E89" s="171">
        <v>44081</v>
      </c>
      <c r="F89" s="264">
        <v>3322083.3333333335</v>
      </c>
      <c r="G89" s="268">
        <v>17675310</v>
      </c>
      <c r="H89" s="264"/>
      <c r="I89" s="264">
        <v>1</v>
      </c>
      <c r="J89" s="272"/>
      <c r="K89" s="264"/>
      <c r="L89" s="264"/>
      <c r="M89" s="275"/>
    </row>
    <row r="90" spans="2:13" ht="16.5" customHeight="1">
      <c r="B90" s="265" t="s">
        <v>1773</v>
      </c>
      <c r="C90" s="263" t="s">
        <v>494</v>
      </c>
      <c r="D90" s="263">
        <v>2</v>
      </c>
      <c r="E90" s="171">
        <v>44692</v>
      </c>
      <c r="F90" s="264">
        <v>3505850</v>
      </c>
      <c r="G90" s="268">
        <v>12784350</v>
      </c>
      <c r="H90" s="264"/>
      <c r="I90" s="264">
        <v>1</v>
      </c>
      <c r="J90" s="272"/>
      <c r="K90" s="264"/>
      <c r="L90" s="264"/>
      <c r="M90" s="275"/>
    </row>
    <row r="91" spans="2:13" ht="16.5" customHeight="1">
      <c r="B91" s="265" t="s">
        <v>1774</v>
      </c>
      <c r="C91" s="263" t="s">
        <v>495</v>
      </c>
      <c r="D91" s="263">
        <v>2</v>
      </c>
      <c r="E91" s="171">
        <v>44760</v>
      </c>
      <c r="F91" s="264">
        <v>6264410</v>
      </c>
      <c r="G91" s="268">
        <v>21676580</v>
      </c>
      <c r="H91" s="264"/>
      <c r="I91" s="264">
        <v>1</v>
      </c>
      <c r="J91" s="272"/>
      <c r="K91" s="264"/>
      <c r="L91" s="264"/>
      <c r="M91" s="275"/>
    </row>
    <row r="92" spans="2:13" ht="16.5" customHeight="1">
      <c r="B92" s="265" t="s">
        <v>1775</v>
      </c>
      <c r="C92" s="263" t="s">
        <v>496</v>
      </c>
      <c r="D92" s="263">
        <v>1</v>
      </c>
      <c r="E92" s="171">
        <v>43614</v>
      </c>
      <c r="F92" s="264">
        <v>3896034.1666666665</v>
      </c>
      <c r="G92" s="268">
        <v>25713830</v>
      </c>
      <c r="H92" s="264"/>
      <c r="I92" s="264">
        <v>1</v>
      </c>
      <c r="J92" s="272"/>
      <c r="K92" s="264"/>
      <c r="L92" s="264"/>
      <c r="M92" s="275"/>
    </row>
    <row r="93" spans="2:13" ht="16.5" customHeight="1">
      <c r="B93" s="265" t="s">
        <v>1776</v>
      </c>
      <c r="C93" s="263" t="s">
        <v>497</v>
      </c>
      <c r="D93" s="263">
        <v>1</v>
      </c>
      <c r="E93" s="171">
        <v>40546</v>
      </c>
      <c r="F93" s="264">
        <v>7113310</v>
      </c>
      <c r="G93" s="268">
        <v>106738630</v>
      </c>
      <c r="H93" s="264"/>
      <c r="I93" s="264">
        <v>1</v>
      </c>
      <c r="J93" s="272"/>
      <c r="K93" s="264"/>
      <c r="L93" s="264"/>
      <c r="M93" s="275"/>
    </row>
    <row r="94" spans="2:13" ht="16.5" customHeight="1">
      <c r="B94" s="265" t="s">
        <v>1777</v>
      </c>
      <c r="C94" s="263" t="s">
        <v>498</v>
      </c>
      <c r="D94" s="263">
        <v>1</v>
      </c>
      <c r="E94" s="171">
        <v>40459</v>
      </c>
      <c r="F94" s="264">
        <v>5644980</v>
      </c>
      <c r="G94" s="268">
        <v>86051150</v>
      </c>
      <c r="H94" s="264"/>
      <c r="I94" s="264">
        <v>1</v>
      </c>
      <c r="J94" s="272"/>
      <c r="K94" s="264"/>
      <c r="L94" s="264"/>
      <c r="M94" s="275"/>
    </row>
    <row r="95" spans="2:13" ht="16.5" customHeight="1">
      <c r="B95" s="265" t="s">
        <v>1778</v>
      </c>
      <c r="C95" s="263" t="s">
        <v>499</v>
      </c>
      <c r="D95" s="263">
        <v>1</v>
      </c>
      <c r="E95" s="171">
        <v>40511</v>
      </c>
      <c r="F95" s="264">
        <v>6537280</v>
      </c>
      <c r="G95" s="268">
        <v>98721890</v>
      </c>
      <c r="H95" s="264"/>
      <c r="I95" s="264">
        <v>1</v>
      </c>
      <c r="J95" s="272"/>
      <c r="K95" s="264"/>
      <c r="L95" s="264"/>
      <c r="M95" s="275"/>
    </row>
    <row r="96" spans="2:13" ht="16.5" customHeight="1">
      <c r="B96" s="265" t="s">
        <v>1779</v>
      </c>
      <c r="C96" s="263" t="s">
        <v>500</v>
      </c>
      <c r="D96" s="263">
        <v>2</v>
      </c>
      <c r="E96" s="171">
        <v>40562</v>
      </c>
      <c r="F96" s="264">
        <v>5716500</v>
      </c>
      <c r="G96" s="268">
        <v>41487700</v>
      </c>
      <c r="H96" s="264"/>
      <c r="I96" s="264">
        <v>1</v>
      </c>
      <c r="J96" s="272">
        <v>43373</v>
      </c>
      <c r="K96" s="264"/>
      <c r="L96" s="264"/>
      <c r="M96" s="275"/>
    </row>
    <row r="97" spans="2:13" ht="16.5" customHeight="1">
      <c r="B97" s="265" t="s">
        <v>1780</v>
      </c>
      <c r="C97" s="263" t="s">
        <v>426</v>
      </c>
      <c r="D97" s="263">
        <v>1</v>
      </c>
      <c r="E97" s="171">
        <v>39549</v>
      </c>
      <c r="F97" s="264">
        <v>5382920</v>
      </c>
      <c r="G97" s="268">
        <v>68680170</v>
      </c>
      <c r="H97" s="264"/>
      <c r="I97" s="264">
        <v>1</v>
      </c>
      <c r="J97" s="272">
        <v>41365</v>
      </c>
      <c r="K97" s="264"/>
      <c r="L97" s="264"/>
      <c r="M97" s="275"/>
    </row>
    <row r="98" spans="2:13" ht="16.5" customHeight="1">
      <c r="B98" s="265" t="s">
        <v>1781</v>
      </c>
      <c r="C98" s="263" t="s">
        <v>501</v>
      </c>
      <c r="D98" s="263">
        <v>1</v>
      </c>
      <c r="E98" s="171">
        <v>42331</v>
      </c>
      <c r="F98" s="264">
        <v>5482030</v>
      </c>
      <c r="G98" s="268">
        <v>55451110</v>
      </c>
      <c r="H98" s="264"/>
      <c r="I98" s="264">
        <v>1</v>
      </c>
      <c r="J98" s="272"/>
      <c r="K98" s="264"/>
      <c r="L98" s="264"/>
      <c r="M98" s="275"/>
    </row>
    <row r="99" spans="2:13" ht="16.5" customHeight="1">
      <c r="B99" s="265" t="s">
        <v>1782</v>
      </c>
      <c r="C99" s="263" t="s">
        <v>502</v>
      </c>
      <c r="D99" s="263">
        <v>1</v>
      </c>
      <c r="E99" s="171">
        <v>43780</v>
      </c>
      <c r="F99" s="264">
        <v>4074280</v>
      </c>
      <c r="G99" s="268">
        <v>25037290</v>
      </c>
      <c r="H99" s="264"/>
      <c r="I99" s="264">
        <v>1</v>
      </c>
      <c r="J99" s="272"/>
      <c r="K99" s="264"/>
      <c r="L99" s="264"/>
      <c r="M99" s="275"/>
    </row>
    <row r="100" spans="2:13" ht="16.5" customHeight="1">
      <c r="B100" s="265" t="s">
        <v>1783</v>
      </c>
      <c r="C100" s="263" t="s">
        <v>503</v>
      </c>
      <c r="D100" s="263">
        <v>1</v>
      </c>
      <c r="E100" s="171">
        <v>44531</v>
      </c>
      <c r="F100" s="264">
        <v>7608846.666666667</v>
      </c>
      <c r="G100" s="268">
        <v>31102470</v>
      </c>
      <c r="H100" s="264"/>
      <c r="I100" s="264">
        <v>1</v>
      </c>
      <c r="J100" s="272"/>
      <c r="K100" s="264"/>
      <c r="L100" s="264"/>
      <c r="M100" s="275"/>
    </row>
    <row r="101" spans="2:13" ht="16.5" customHeight="1">
      <c r="B101" s="265" t="s">
        <v>1784</v>
      </c>
      <c r="C101" s="263" t="s">
        <v>504</v>
      </c>
      <c r="D101" s="263">
        <v>1</v>
      </c>
      <c r="E101" s="171">
        <v>44641</v>
      </c>
      <c r="F101" s="264">
        <v>4526916.666666666</v>
      </c>
      <c r="G101" s="268">
        <v>17140280</v>
      </c>
      <c r="H101" s="264"/>
      <c r="I101" s="264">
        <v>1</v>
      </c>
      <c r="J101" s="272"/>
      <c r="K101" s="264"/>
      <c r="L101" s="264"/>
      <c r="M101" s="275"/>
    </row>
    <row r="102" spans="2:13" ht="16.5" customHeight="1">
      <c r="B102" s="265" t="s">
        <v>1785</v>
      </c>
      <c r="C102" s="263" t="s">
        <v>505</v>
      </c>
      <c r="D102" s="263">
        <v>2</v>
      </c>
      <c r="E102" s="171">
        <v>44679</v>
      </c>
      <c r="F102" s="264">
        <v>5066533.333333333</v>
      </c>
      <c r="G102" s="268">
        <v>18655950</v>
      </c>
      <c r="H102" s="264"/>
      <c r="I102" s="264">
        <v>1</v>
      </c>
      <c r="J102" s="272"/>
      <c r="K102" s="264"/>
      <c r="L102" s="264"/>
      <c r="M102" s="275"/>
    </row>
    <row r="103" spans="2:13" ht="16.5" customHeight="1">
      <c r="B103" s="265" t="s">
        <v>1786</v>
      </c>
      <c r="C103" s="263" t="s">
        <v>506</v>
      </c>
      <c r="D103" s="263">
        <v>1</v>
      </c>
      <c r="E103" s="171">
        <v>44909</v>
      </c>
      <c r="F103" s="264">
        <v>4345883.333333333</v>
      </c>
      <c r="G103" s="268">
        <v>13263880</v>
      </c>
      <c r="H103" s="264"/>
      <c r="I103" s="264">
        <v>1</v>
      </c>
      <c r="J103" s="272"/>
      <c r="K103" s="264"/>
      <c r="L103" s="264"/>
      <c r="M103" s="275"/>
    </row>
    <row r="104" spans="2:13" ht="16.5" customHeight="1">
      <c r="B104" s="265" t="s">
        <v>1787</v>
      </c>
      <c r="C104" s="263" t="s">
        <v>507</v>
      </c>
      <c r="D104" s="263">
        <v>1</v>
      </c>
      <c r="E104" s="171">
        <v>44131</v>
      </c>
      <c r="F104" s="264">
        <v>8383390</v>
      </c>
      <c r="G104" s="268">
        <v>43455820</v>
      </c>
      <c r="H104" s="264"/>
      <c r="I104" s="264">
        <v>1</v>
      </c>
      <c r="J104" s="272"/>
      <c r="K104" s="264"/>
      <c r="L104" s="264"/>
      <c r="M104" s="275"/>
    </row>
    <row r="105" spans="2:13" ht="16.5" customHeight="1">
      <c r="B105" s="265" t="s">
        <v>1788</v>
      </c>
      <c r="C105" s="263" t="s">
        <v>508</v>
      </c>
      <c r="D105" s="263">
        <v>1</v>
      </c>
      <c r="E105" s="171">
        <v>44466</v>
      </c>
      <c r="F105" s="264">
        <v>7641013.333333333</v>
      </c>
      <c r="G105" s="268">
        <v>32594680</v>
      </c>
      <c r="H105" s="264"/>
      <c r="I105" s="264">
        <v>1</v>
      </c>
      <c r="J105" s="272"/>
      <c r="K105" s="264"/>
      <c r="L105" s="264"/>
      <c r="M105" s="275"/>
    </row>
    <row r="106" spans="2:13" ht="16.5" customHeight="1">
      <c r="B106" s="265" t="s">
        <v>1789</v>
      </c>
      <c r="C106" s="263" t="s">
        <v>509</v>
      </c>
      <c r="D106" s="263">
        <v>1</v>
      </c>
      <c r="E106" s="171">
        <v>44823</v>
      </c>
      <c r="F106" s="264">
        <v>5789836.666666667</v>
      </c>
      <c r="G106" s="268">
        <v>19035080</v>
      </c>
      <c r="H106" s="264"/>
      <c r="I106" s="264">
        <v>1</v>
      </c>
      <c r="J106" s="272"/>
      <c r="K106" s="264"/>
      <c r="L106" s="264"/>
      <c r="M106" s="275"/>
    </row>
    <row r="107" spans="2:13" ht="16.5" customHeight="1">
      <c r="B107" s="265" t="s">
        <v>1790</v>
      </c>
      <c r="C107" s="263" t="s">
        <v>510</v>
      </c>
      <c r="D107" s="263">
        <v>1</v>
      </c>
      <c r="E107" s="171">
        <v>44914</v>
      </c>
      <c r="F107" s="264">
        <v>6268376.666666667</v>
      </c>
      <c r="G107" s="268">
        <v>19045570</v>
      </c>
      <c r="H107" s="264"/>
      <c r="I107" s="264">
        <v>1</v>
      </c>
      <c r="J107" s="272"/>
      <c r="K107" s="264"/>
      <c r="L107" s="264"/>
      <c r="M107" s="275"/>
    </row>
    <row r="108" spans="2:13" ht="16.5" customHeight="1">
      <c r="B108" s="265" t="s">
        <v>1791</v>
      </c>
      <c r="C108" s="263" t="s">
        <v>511</v>
      </c>
      <c r="D108" s="263">
        <v>2</v>
      </c>
      <c r="E108" s="171">
        <v>45530</v>
      </c>
      <c r="F108" s="264">
        <v>3356106.6666666665</v>
      </c>
      <c r="G108" s="268">
        <v>4533050</v>
      </c>
      <c r="H108" s="264"/>
      <c r="I108" s="264">
        <v>1</v>
      </c>
      <c r="J108" s="272"/>
      <c r="K108" s="264"/>
      <c r="L108" s="264"/>
      <c r="M108" s="275"/>
    </row>
    <row r="109" spans="2:13" ht="16.5" customHeight="1">
      <c r="B109" s="265" t="s">
        <v>1792</v>
      </c>
      <c r="C109" s="263" t="s">
        <v>512</v>
      </c>
      <c r="D109" s="263">
        <v>2</v>
      </c>
      <c r="E109" s="171">
        <v>44879</v>
      </c>
      <c r="F109" s="264">
        <v>5631250</v>
      </c>
      <c r="G109" s="268">
        <v>17649730</v>
      </c>
      <c r="H109" s="264"/>
      <c r="I109" s="264">
        <v>1</v>
      </c>
      <c r="J109" s="272"/>
      <c r="K109" s="264"/>
      <c r="L109" s="264"/>
      <c r="M109" s="275"/>
    </row>
    <row r="110" spans="2:13" ht="16.5" customHeight="1">
      <c r="B110" s="265" t="s">
        <v>1793</v>
      </c>
      <c r="C110" s="263" t="s">
        <v>513</v>
      </c>
      <c r="D110" s="263">
        <v>2</v>
      </c>
      <c r="E110" s="171">
        <v>45572</v>
      </c>
      <c r="F110" s="264">
        <v>4000000</v>
      </c>
      <c r="G110" s="268">
        <v>4942470</v>
      </c>
      <c r="H110" s="264"/>
      <c r="I110" s="264">
        <v>1</v>
      </c>
      <c r="J110" s="272"/>
      <c r="K110" s="264"/>
      <c r="L110" s="264"/>
      <c r="M110" s="275"/>
    </row>
    <row r="111" spans="2:13" ht="16.5" customHeight="1">
      <c r="B111" s="265" t="s">
        <v>1794</v>
      </c>
      <c r="C111" s="263" t="s">
        <v>514</v>
      </c>
      <c r="D111" s="263">
        <v>2</v>
      </c>
      <c r="E111" s="171">
        <v>41613</v>
      </c>
      <c r="F111" s="264">
        <v>4195983.333333333</v>
      </c>
      <c r="G111" s="268">
        <v>50696680</v>
      </c>
      <c r="H111" s="264"/>
      <c r="I111" s="264">
        <v>1</v>
      </c>
      <c r="J111" s="272"/>
      <c r="K111" s="264"/>
      <c r="L111" s="264"/>
      <c r="M111" s="275"/>
    </row>
    <row r="112" spans="2:13" ht="16.5" customHeight="1">
      <c r="B112" s="265" t="s">
        <v>1795</v>
      </c>
      <c r="C112" s="263" t="s">
        <v>515</v>
      </c>
      <c r="D112" s="263">
        <v>2</v>
      </c>
      <c r="E112" s="171">
        <v>44242</v>
      </c>
      <c r="F112" s="264">
        <v>3841737.5</v>
      </c>
      <c r="G112" s="268">
        <v>18745580</v>
      </c>
      <c r="H112" s="264"/>
      <c r="I112" s="264">
        <v>1</v>
      </c>
      <c r="J112" s="272"/>
      <c r="K112" s="264"/>
      <c r="L112" s="264"/>
      <c r="M112" s="275"/>
    </row>
    <row r="113" spans="2:13" ht="16.5" customHeight="1">
      <c r="B113" s="265" t="s">
        <v>1796</v>
      </c>
      <c r="C113" s="263" t="s">
        <v>516</v>
      </c>
      <c r="D113" s="263">
        <v>2</v>
      </c>
      <c r="E113" s="171">
        <v>45565</v>
      </c>
      <c r="F113" s="264">
        <v>7852830</v>
      </c>
      <c r="G113" s="268">
        <v>9853690</v>
      </c>
      <c r="H113" s="264"/>
      <c r="I113" s="264">
        <v>1</v>
      </c>
      <c r="J113" s="272"/>
      <c r="K113" s="264"/>
      <c r="L113" s="264"/>
      <c r="M113" s="275"/>
    </row>
    <row r="114" spans="2:13" ht="16.5" customHeight="1">
      <c r="B114" s="265" t="s">
        <v>1797</v>
      </c>
      <c r="C114" s="263" t="s">
        <v>517</v>
      </c>
      <c r="D114" s="263">
        <v>1</v>
      </c>
      <c r="E114" s="171">
        <v>44669</v>
      </c>
      <c r="F114" s="264">
        <v>5656036.666666667</v>
      </c>
      <c r="G114" s="268">
        <v>20981580</v>
      </c>
      <c r="H114" s="264"/>
      <c r="I114" s="264">
        <v>1</v>
      </c>
      <c r="J114" s="272"/>
      <c r="K114" s="264"/>
      <c r="L114" s="264"/>
      <c r="M114" s="275"/>
    </row>
    <row r="115" spans="2:13" ht="16.5" customHeight="1">
      <c r="B115" s="265" t="s">
        <v>1798</v>
      </c>
      <c r="C115" s="263" t="s">
        <v>518</v>
      </c>
      <c r="D115" s="263">
        <v>2</v>
      </c>
      <c r="E115" s="171">
        <v>44174</v>
      </c>
      <c r="F115" s="264">
        <v>4186400</v>
      </c>
      <c r="G115" s="268">
        <v>21207280</v>
      </c>
      <c r="H115" s="264"/>
      <c r="I115" s="264">
        <v>1</v>
      </c>
      <c r="J115" s="272"/>
      <c r="K115" s="264"/>
      <c r="L115" s="264"/>
      <c r="M115" s="275"/>
    </row>
    <row r="116" spans="2:13" ht="16.5" customHeight="1">
      <c r="B116" s="265" t="s">
        <v>1799</v>
      </c>
      <c r="C116" s="263" t="s">
        <v>519</v>
      </c>
      <c r="D116" s="263">
        <v>2</v>
      </c>
      <c r="E116" s="171">
        <v>44228</v>
      </c>
      <c r="F116" s="264">
        <v>4178290</v>
      </c>
      <c r="G116" s="268">
        <v>20548030</v>
      </c>
      <c r="H116" s="264"/>
      <c r="I116" s="264">
        <v>1</v>
      </c>
      <c r="J116" s="272"/>
      <c r="K116" s="264"/>
      <c r="L116" s="264"/>
      <c r="M116" s="275"/>
    </row>
    <row r="117" spans="2:13" ht="16.5" customHeight="1">
      <c r="B117" s="265" t="s">
        <v>1800</v>
      </c>
      <c r="C117" s="263" t="s">
        <v>520</v>
      </c>
      <c r="D117" s="263">
        <v>2</v>
      </c>
      <c r="E117" s="171">
        <v>44431</v>
      </c>
      <c r="F117" s="264">
        <v>4838493.333333333</v>
      </c>
      <c r="G117" s="268">
        <v>21103790</v>
      </c>
      <c r="H117" s="264"/>
      <c r="I117" s="264">
        <v>1</v>
      </c>
      <c r="J117" s="272"/>
      <c r="K117" s="264"/>
      <c r="L117" s="264"/>
      <c r="M117" s="275"/>
    </row>
    <row r="118" spans="2:13" ht="16.5" customHeight="1">
      <c r="B118" s="265" t="s">
        <v>1801</v>
      </c>
      <c r="C118" s="263" t="s">
        <v>521</v>
      </c>
      <c r="D118" s="263">
        <v>2</v>
      </c>
      <c r="E118" s="171">
        <v>44690</v>
      </c>
      <c r="F118" s="264">
        <v>3505230</v>
      </c>
      <c r="G118" s="268">
        <v>12801300</v>
      </c>
      <c r="H118" s="264"/>
      <c r="I118" s="264">
        <v>1</v>
      </c>
      <c r="J118" s="272"/>
      <c r="K118" s="264"/>
      <c r="L118" s="264"/>
      <c r="M118" s="275"/>
    </row>
    <row r="119" spans="2:13" ht="16.5" customHeight="1">
      <c r="B119" s="265" t="s">
        <v>1802</v>
      </c>
      <c r="C119" s="263" t="s">
        <v>522</v>
      </c>
      <c r="D119" s="263">
        <v>1</v>
      </c>
      <c r="E119" s="171">
        <v>45572</v>
      </c>
      <c r="F119" s="264">
        <v>8550000</v>
      </c>
      <c r="G119" s="268">
        <v>10564530</v>
      </c>
      <c r="H119" s="264"/>
      <c r="I119" s="264">
        <v>1</v>
      </c>
      <c r="J119" s="272"/>
      <c r="K119" s="264"/>
      <c r="L119" s="264"/>
      <c r="M119" s="275"/>
    </row>
    <row r="120" spans="2:13" ht="16.5" customHeight="1">
      <c r="B120" s="265" t="s">
        <v>1803</v>
      </c>
      <c r="C120" s="263" t="s">
        <v>523</v>
      </c>
      <c r="D120" s="263">
        <v>2</v>
      </c>
      <c r="E120" s="171">
        <v>44669</v>
      </c>
      <c r="F120" s="264">
        <v>4763251.666666667</v>
      </c>
      <c r="G120" s="268">
        <v>17669710</v>
      </c>
      <c r="H120" s="264"/>
      <c r="I120" s="264">
        <v>1</v>
      </c>
      <c r="J120" s="272"/>
      <c r="K120" s="264"/>
      <c r="L120" s="264"/>
      <c r="M120" s="275"/>
    </row>
    <row r="121" spans="2:13" ht="16.5" customHeight="1">
      <c r="B121" s="265" t="s">
        <v>1804</v>
      </c>
      <c r="C121" s="263" t="s">
        <v>524</v>
      </c>
      <c r="D121" s="263">
        <v>1</v>
      </c>
      <c r="E121" s="171">
        <v>45474</v>
      </c>
      <c r="F121" s="264">
        <v>9035420</v>
      </c>
      <c r="G121" s="268">
        <v>13590270</v>
      </c>
      <c r="H121" s="264"/>
      <c r="I121" s="264">
        <v>1</v>
      </c>
      <c r="J121" s="272"/>
      <c r="K121" s="264"/>
      <c r="L121" s="264"/>
      <c r="M121" s="275"/>
    </row>
    <row r="122" spans="2:13" ht="16.5" customHeight="1">
      <c r="B122" s="265" t="s">
        <v>1805</v>
      </c>
      <c r="C122" s="263" t="s">
        <v>525</v>
      </c>
      <c r="D122" s="263">
        <v>2</v>
      </c>
      <c r="E122" s="171">
        <v>45078</v>
      </c>
      <c r="F122" s="264">
        <v>6497486.666666667</v>
      </c>
      <c r="G122" s="268">
        <v>16822260</v>
      </c>
      <c r="H122" s="264"/>
      <c r="I122" s="264">
        <v>1</v>
      </c>
      <c r="J122" s="272"/>
      <c r="K122" s="264"/>
      <c r="L122" s="264"/>
      <c r="M122" s="275"/>
    </row>
    <row r="123" spans="2:13" ht="16.5" customHeight="1">
      <c r="B123" s="265" t="s">
        <v>1806</v>
      </c>
      <c r="C123" s="263" t="s">
        <v>526</v>
      </c>
      <c r="D123" s="263">
        <v>2</v>
      </c>
      <c r="E123" s="171">
        <v>43999</v>
      </c>
      <c r="F123" s="264">
        <v>4494995.833333333</v>
      </c>
      <c r="G123" s="268">
        <v>4113230</v>
      </c>
      <c r="H123" s="264"/>
      <c r="I123" s="264">
        <v>1</v>
      </c>
      <c r="J123" s="272">
        <v>45688</v>
      </c>
      <c r="K123" s="264">
        <v>20812450</v>
      </c>
      <c r="L123" s="264"/>
      <c r="M123" s="275"/>
    </row>
    <row r="124" spans="2:13" ht="16.5" customHeight="1">
      <c r="B124" s="265" t="s">
        <v>1807</v>
      </c>
      <c r="C124" s="263" t="s">
        <v>527</v>
      </c>
      <c r="D124" s="263">
        <v>1</v>
      </c>
      <c r="E124" s="171">
        <v>44188</v>
      </c>
      <c r="F124" s="264">
        <v>5421585.833333333</v>
      </c>
      <c r="G124" s="268">
        <v>27256470</v>
      </c>
      <c r="H124" s="264"/>
      <c r="I124" s="264">
        <v>1</v>
      </c>
      <c r="J124" s="272"/>
      <c r="K124" s="264"/>
      <c r="L124" s="264"/>
      <c r="M124" s="275"/>
    </row>
    <row r="125" spans="2:13" ht="16.5" customHeight="1">
      <c r="B125" s="265" t="s">
        <v>1808</v>
      </c>
      <c r="C125" s="263" t="s">
        <v>528</v>
      </c>
      <c r="D125" s="263">
        <v>2</v>
      </c>
      <c r="E125" s="171">
        <v>44356</v>
      </c>
      <c r="F125" s="264">
        <v>4080600</v>
      </c>
      <c r="G125" s="268">
        <v>18636610</v>
      </c>
      <c r="H125" s="264"/>
      <c r="I125" s="264">
        <v>1</v>
      </c>
      <c r="J125" s="272"/>
      <c r="K125" s="264"/>
      <c r="L125" s="264"/>
      <c r="M125" s="275"/>
    </row>
    <row r="126" spans="2:13" ht="16.5" customHeight="1">
      <c r="B126" s="265" t="s">
        <v>1809</v>
      </c>
      <c r="C126" s="263" t="s">
        <v>529</v>
      </c>
      <c r="D126" s="263">
        <v>2</v>
      </c>
      <c r="E126" s="171">
        <v>44571</v>
      </c>
      <c r="F126" s="264">
        <v>4414276.666666667</v>
      </c>
      <c r="G126" s="268">
        <v>17560360</v>
      </c>
      <c r="H126" s="264"/>
      <c r="I126" s="264">
        <v>1</v>
      </c>
      <c r="J126" s="272"/>
      <c r="K126" s="264"/>
      <c r="L126" s="264"/>
      <c r="M126" s="275"/>
    </row>
    <row r="127" spans="2:13" ht="16.5" customHeight="1">
      <c r="B127" s="265" t="s">
        <v>1810</v>
      </c>
      <c r="C127" s="263" t="s">
        <v>530</v>
      </c>
      <c r="D127" s="263">
        <v>2</v>
      </c>
      <c r="E127" s="171">
        <v>41162</v>
      </c>
      <c r="F127" s="264">
        <v>5511755.833333333</v>
      </c>
      <c r="G127" s="268">
        <v>73404510</v>
      </c>
      <c r="H127" s="264"/>
      <c r="I127" s="264">
        <v>1</v>
      </c>
      <c r="J127" s="272"/>
      <c r="K127" s="264"/>
      <c r="L127" s="264"/>
      <c r="M127" s="275"/>
    </row>
    <row r="128" spans="2:13" ht="16.5" customHeight="1">
      <c r="B128" s="265" t="s">
        <v>1811</v>
      </c>
      <c r="C128" s="263" t="s">
        <v>531</v>
      </c>
      <c r="D128" s="263">
        <v>2</v>
      </c>
      <c r="E128" s="171">
        <v>44767</v>
      </c>
      <c r="F128" s="264">
        <v>3676735.8333333335</v>
      </c>
      <c r="G128" s="268">
        <v>12652010</v>
      </c>
      <c r="H128" s="264"/>
      <c r="I128" s="264">
        <v>1</v>
      </c>
      <c r="J128" s="272"/>
      <c r="K128" s="264"/>
      <c r="L128" s="264"/>
      <c r="M128" s="275"/>
    </row>
    <row r="129" spans="2:13" ht="16.5" customHeight="1">
      <c r="B129" s="265" t="s">
        <v>1812</v>
      </c>
      <c r="C129" s="263" t="s">
        <v>532</v>
      </c>
      <c r="D129" s="263">
        <v>2</v>
      </c>
      <c r="E129" s="171">
        <v>44879</v>
      </c>
      <c r="F129" s="264">
        <v>4935540</v>
      </c>
      <c r="G129" s="268">
        <v>15469200</v>
      </c>
      <c r="H129" s="264"/>
      <c r="I129" s="264">
        <v>1</v>
      </c>
      <c r="J129" s="272"/>
      <c r="K129" s="264"/>
      <c r="L129" s="264"/>
      <c r="M129" s="275"/>
    </row>
    <row r="130" spans="2:13" ht="16.5" customHeight="1">
      <c r="B130" s="265" t="s">
        <v>1813</v>
      </c>
      <c r="C130" s="263" t="s">
        <v>533</v>
      </c>
      <c r="D130" s="263">
        <v>1</v>
      </c>
      <c r="E130" s="171">
        <v>44893</v>
      </c>
      <c r="F130" s="264">
        <v>5865068.333333333</v>
      </c>
      <c r="G130" s="268">
        <v>18157610</v>
      </c>
      <c r="H130" s="264"/>
      <c r="I130" s="264">
        <v>1</v>
      </c>
      <c r="J130" s="272"/>
      <c r="K130" s="264"/>
      <c r="L130" s="264"/>
      <c r="M130" s="275"/>
    </row>
    <row r="131" spans="2:13" ht="16.5" customHeight="1">
      <c r="B131" s="265" t="s">
        <v>1814</v>
      </c>
      <c r="C131" s="263" t="s">
        <v>534</v>
      </c>
      <c r="D131" s="263">
        <v>2</v>
      </c>
      <c r="E131" s="171">
        <v>45203</v>
      </c>
      <c r="F131" s="264">
        <v>3763817.5</v>
      </c>
      <c r="G131" s="268">
        <v>8455700</v>
      </c>
      <c r="H131" s="264"/>
      <c r="I131" s="264">
        <v>1</v>
      </c>
      <c r="J131" s="272"/>
      <c r="K131" s="264"/>
      <c r="L131" s="264"/>
      <c r="M131" s="275"/>
    </row>
    <row r="132" spans="2:13" ht="16.5" customHeight="1">
      <c r="B132" s="265" t="s">
        <v>1815</v>
      </c>
      <c r="C132" s="263" t="s">
        <v>535</v>
      </c>
      <c r="D132" s="263">
        <v>1</v>
      </c>
      <c r="E132" s="171">
        <v>44287</v>
      </c>
      <c r="F132" s="264">
        <v>4534404.166666667</v>
      </c>
      <c r="G132" s="268">
        <v>21566380</v>
      </c>
      <c r="H132" s="264"/>
      <c r="I132" s="264">
        <v>1</v>
      </c>
      <c r="J132" s="272"/>
      <c r="K132" s="264"/>
      <c r="L132" s="264"/>
      <c r="M132" s="275"/>
    </row>
    <row r="133" spans="2:13" ht="16.5" customHeight="1">
      <c r="B133" s="265" t="s">
        <v>1816</v>
      </c>
      <c r="C133" s="263" t="s">
        <v>536</v>
      </c>
      <c r="D133" s="263">
        <v>1</v>
      </c>
      <c r="E133" s="171">
        <v>44263</v>
      </c>
      <c r="F133" s="264">
        <v>5184850</v>
      </c>
      <c r="G133" s="268">
        <v>25000930</v>
      </c>
      <c r="H133" s="264"/>
      <c r="I133" s="264">
        <v>1</v>
      </c>
      <c r="J133" s="272"/>
      <c r="K133" s="264"/>
      <c r="L133" s="264"/>
      <c r="M133" s="275"/>
    </row>
    <row r="134" spans="2:13" ht="16.5" customHeight="1">
      <c r="B134" s="265" t="s">
        <v>1817</v>
      </c>
      <c r="C134" s="263" t="s">
        <v>537</v>
      </c>
      <c r="D134" s="263">
        <v>1</v>
      </c>
      <c r="E134" s="171">
        <v>44669</v>
      </c>
      <c r="F134" s="264">
        <v>5795240</v>
      </c>
      <c r="G134" s="268">
        <v>21497960</v>
      </c>
      <c r="H134" s="264"/>
      <c r="I134" s="264">
        <v>1</v>
      </c>
      <c r="J134" s="272"/>
      <c r="K134" s="264"/>
      <c r="L134" s="264"/>
      <c r="M134" s="275"/>
    </row>
    <row r="135" spans="2:13" ht="16.5" customHeight="1">
      <c r="B135" s="265" t="s">
        <v>1818</v>
      </c>
      <c r="C135" s="263" t="s">
        <v>538</v>
      </c>
      <c r="D135" s="263">
        <v>2</v>
      </c>
      <c r="E135" s="171">
        <v>43983</v>
      </c>
      <c r="F135" s="264">
        <v>3255090</v>
      </c>
      <c r="G135" s="268">
        <v>18192840</v>
      </c>
      <c r="H135" s="264"/>
      <c r="I135" s="264">
        <v>1</v>
      </c>
      <c r="J135" s="272"/>
      <c r="K135" s="264"/>
      <c r="L135" s="264"/>
      <c r="M135" s="275"/>
    </row>
    <row r="136" spans="2:13" ht="16.5" customHeight="1">
      <c r="B136" s="265" t="s">
        <v>1819</v>
      </c>
      <c r="C136" s="263" t="s">
        <v>539</v>
      </c>
      <c r="D136" s="263">
        <v>1</v>
      </c>
      <c r="E136" s="171">
        <v>45341</v>
      </c>
      <c r="F136" s="264">
        <v>4762553.333333333</v>
      </c>
      <c r="G136" s="268">
        <v>8898800</v>
      </c>
      <c r="H136" s="264"/>
      <c r="I136" s="264">
        <v>1</v>
      </c>
      <c r="J136" s="272"/>
      <c r="K136" s="264"/>
      <c r="L136" s="264"/>
      <c r="M136" s="275"/>
    </row>
    <row r="137" spans="2:13" ht="16.5" customHeight="1">
      <c r="B137" s="265" t="s">
        <v>1820</v>
      </c>
      <c r="C137" s="263" t="s">
        <v>540</v>
      </c>
      <c r="D137" s="263">
        <v>2</v>
      </c>
      <c r="E137" s="171">
        <v>44088</v>
      </c>
      <c r="F137" s="264">
        <v>7554944.166666667</v>
      </c>
      <c r="G137" s="268">
        <v>40051560</v>
      </c>
      <c r="H137" s="264"/>
      <c r="I137" s="264">
        <v>1</v>
      </c>
      <c r="J137" s="272"/>
      <c r="K137" s="264"/>
      <c r="L137" s="264"/>
      <c r="M137" s="275"/>
    </row>
    <row r="138" spans="2:13" ht="16.5" customHeight="1">
      <c r="B138" s="265" t="s">
        <v>1821</v>
      </c>
      <c r="C138" s="263" t="s">
        <v>541</v>
      </c>
      <c r="D138" s="263">
        <v>1</v>
      </c>
      <c r="E138" s="171">
        <v>43503</v>
      </c>
      <c r="F138" s="264">
        <v>5901631.666666667</v>
      </c>
      <c r="G138" s="268">
        <v>40745520</v>
      </c>
      <c r="H138" s="264"/>
      <c r="I138" s="264">
        <v>1</v>
      </c>
      <c r="J138" s="272"/>
      <c r="K138" s="264"/>
      <c r="L138" s="264"/>
      <c r="M138" s="275"/>
    </row>
    <row r="139" spans="2:13" ht="16.5" customHeight="1">
      <c r="B139" s="265" t="s">
        <v>1822</v>
      </c>
      <c r="C139" s="263" t="s">
        <v>542</v>
      </c>
      <c r="D139" s="263">
        <v>2</v>
      </c>
      <c r="E139" s="171">
        <v>44144</v>
      </c>
      <c r="F139" s="264">
        <v>4221070</v>
      </c>
      <c r="G139" s="268">
        <v>21729840</v>
      </c>
      <c r="H139" s="264"/>
      <c r="I139" s="264">
        <v>1</v>
      </c>
      <c r="J139" s="272"/>
      <c r="K139" s="264"/>
      <c r="L139" s="264"/>
      <c r="M139" s="275"/>
    </row>
    <row r="140" spans="2:13" ht="16.5" customHeight="1">
      <c r="B140" s="265" t="s">
        <v>1823</v>
      </c>
      <c r="C140" s="263" t="s">
        <v>543</v>
      </c>
      <c r="D140" s="263">
        <v>1</v>
      </c>
      <c r="E140" s="171">
        <v>44263</v>
      </c>
      <c r="F140" s="264">
        <v>4796340</v>
      </c>
      <c r="G140" s="268">
        <v>23127560</v>
      </c>
      <c r="H140" s="264"/>
      <c r="I140" s="264">
        <v>1</v>
      </c>
      <c r="J140" s="272"/>
      <c r="K140" s="264"/>
      <c r="L140" s="264"/>
      <c r="M140" s="275"/>
    </row>
    <row r="141" spans="2:13" ht="16.5" customHeight="1">
      <c r="B141" s="265" t="s">
        <v>1824</v>
      </c>
      <c r="C141" s="263" t="s">
        <v>544</v>
      </c>
      <c r="D141" s="263">
        <v>1</v>
      </c>
      <c r="E141" s="171">
        <v>45516</v>
      </c>
      <c r="F141" s="264">
        <v>4563550</v>
      </c>
      <c r="G141" s="268">
        <v>6338960</v>
      </c>
      <c r="H141" s="264"/>
      <c r="I141" s="264">
        <v>1</v>
      </c>
      <c r="J141" s="272"/>
      <c r="K141" s="264"/>
      <c r="L141" s="264"/>
      <c r="M141" s="275"/>
    </row>
    <row r="142" spans="2:13" ht="16.5" customHeight="1">
      <c r="B142" s="265" t="s">
        <v>1825</v>
      </c>
      <c r="C142" s="263" t="s">
        <v>545</v>
      </c>
      <c r="D142" s="263">
        <v>2</v>
      </c>
      <c r="E142" s="171">
        <v>43990</v>
      </c>
      <c r="F142" s="264">
        <v>3879433.3333333335</v>
      </c>
      <c r="G142" s="268">
        <v>21607920</v>
      </c>
      <c r="H142" s="264"/>
      <c r="I142" s="264">
        <v>1</v>
      </c>
      <c r="J142" s="272"/>
      <c r="K142" s="264"/>
      <c r="L142" s="264"/>
      <c r="M142" s="275"/>
    </row>
    <row r="143" spans="2:13" ht="16.5" customHeight="1">
      <c r="B143" s="265" t="s">
        <v>1826</v>
      </c>
      <c r="C143" s="263" t="s">
        <v>546</v>
      </c>
      <c r="D143" s="263">
        <v>2</v>
      </c>
      <c r="E143" s="171">
        <v>45271</v>
      </c>
      <c r="F143" s="264">
        <v>8801405.833333334</v>
      </c>
      <c r="G143" s="268">
        <v>18133310</v>
      </c>
      <c r="H143" s="264"/>
      <c r="I143" s="264">
        <v>1</v>
      </c>
      <c r="J143" s="272"/>
      <c r="K143" s="264"/>
      <c r="L143" s="264"/>
      <c r="M143" s="275"/>
    </row>
    <row r="144" spans="2:13" ht="16.5" customHeight="1">
      <c r="B144" s="265" t="s">
        <v>1827</v>
      </c>
      <c r="C144" s="263" t="s">
        <v>547</v>
      </c>
      <c r="D144" s="263">
        <v>2</v>
      </c>
      <c r="E144" s="171">
        <v>41099</v>
      </c>
      <c r="F144" s="264">
        <v>5482015.833333333</v>
      </c>
      <c r="G144" s="268">
        <v>73954650</v>
      </c>
      <c r="H144" s="264"/>
      <c r="I144" s="264">
        <v>1</v>
      </c>
      <c r="J144" s="272"/>
      <c r="K144" s="264"/>
      <c r="L144" s="264"/>
      <c r="M144" s="275"/>
    </row>
    <row r="145" spans="2:13" ht="16.5" customHeight="1">
      <c r="B145" s="265" t="s">
        <v>1828</v>
      </c>
      <c r="C145" s="263" t="s">
        <v>548</v>
      </c>
      <c r="D145" s="263">
        <v>2</v>
      </c>
      <c r="E145" s="171">
        <v>45383</v>
      </c>
      <c r="F145" s="264">
        <v>3110000</v>
      </c>
      <c r="G145" s="268">
        <v>5453160</v>
      </c>
      <c r="H145" s="264"/>
      <c r="I145" s="264">
        <v>1</v>
      </c>
      <c r="J145" s="272"/>
      <c r="K145" s="264"/>
      <c r="L145" s="264"/>
      <c r="M145" s="275"/>
    </row>
    <row r="146" spans="2:13" ht="16.5" customHeight="1">
      <c r="B146" s="265" t="s">
        <v>1829</v>
      </c>
      <c r="C146" s="263" t="s">
        <v>549</v>
      </c>
      <c r="D146" s="263">
        <v>2</v>
      </c>
      <c r="E146" s="171">
        <v>45400</v>
      </c>
      <c r="F146" s="264">
        <v>3188710</v>
      </c>
      <c r="G146" s="268">
        <v>5442650</v>
      </c>
      <c r="H146" s="264"/>
      <c r="I146" s="264">
        <v>1</v>
      </c>
      <c r="J146" s="272"/>
      <c r="K146" s="264"/>
      <c r="L146" s="264"/>
      <c r="M146" s="275"/>
    </row>
    <row r="147" spans="2:13" ht="16.5" customHeight="1">
      <c r="B147" s="265" t="s">
        <v>1830</v>
      </c>
      <c r="C147" s="263" t="s">
        <v>550</v>
      </c>
      <c r="D147" s="263">
        <v>2</v>
      </c>
      <c r="E147" s="171">
        <v>45425</v>
      </c>
      <c r="F147" s="264">
        <v>4279836.666666667</v>
      </c>
      <c r="G147" s="268">
        <v>7011900</v>
      </c>
      <c r="H147" s="264"/>
      <c r="I147" s="264">
        <v>1</v>
      </c>
      <c r="J147" s="272"/>
      <c r="K147" s="264"/>
      <c r="L147" s="264"/>
      <c r="M147" s="275"/>
    </row>
    <row r="148" spans="2:13" ht="16.5" customHeight="1">
      <c r="B148" s="265" t="s">
        <v>1831</v>
      </c>
      <c r="C148" s="263" t="s">
        <v>551</v>
      </c>
      <c r="D148" s="263">
        <v>2</v>
      </c>
      <c r="E148" s="171">
        <v>45425</v>
      </c>
      <c r="F148" s="264">
        <v>3596700</v>
      </c>
      <c r="G148" s="268">
        <v>5892680</v>
      </c>
      <c r="H148" s="264"/>
      <c r="I148" s="264">
        <v>1</v>
      </c>
      <c r="J148" s="272"/>
      <c r="K148" s="264"/>
      <c r="L148" s="264"/>
      <c r="M148" s="275"/>
    </row>
    <row r="149" spans="2:13" ht="16.5" customHeight="1">
      <c r="B149" s="265" t="s">
        <v>1832</v>
      </c>
      <c r="C149" s="263" t="s">
        <v>533</v>
      </c>
      <c r="D149" s="263">
        <v>2</v>
      </c>
      <c r="E149" s="171">
        <v>39190</v>
      </c>
      <c r="F149" s="264">
        <v>6455476.666666667</v>
      </c>
      <c r="G149" s="268">
        <v>51679190</v>
      </c>
      <c r="H149" s="264"/>
      <c r="I149" s="264">
        <v>1</v>
      </c>
      <c r="J149" s="272">
        <v>43100</v>
      </c>
      <c r="K149" s="264"/>
      <c r="L149" s="264"/>
      <c r="M149" s="275"/>
    </row>
    <row r="150" spans="2:13" ht="16.5" customHeight="1">
      <c r="B150" s="265" t="s">
        <v>1833</v>
      </c>
      <c r="C150" s="263" t="s">
        <v>552</v>
      </c>
      <c r="D150" s="263">
        <v>1</v>
      </c>
      <c r="E150" s="171">
        <v>42667</v>
      </c>
      <c r="F150" s="264">
        <v>5948743.333333334</v>
      </c>
      <c r="G150" s="268">
        <v>54695850</v>
      </c>
      <c r="H150" s="264"/>
      <c r="I150" s="264">
        <v>1</v>
      </c>
      <c r="J150" s="272"/>
      <c r="K150" s="264"/>
      <c r="L150" s="264"/>
      <c r="M150" s="275"/>
    </row>
    <row r="151" spans="2:13" ht="16.5" customHeight="1">
      <c r="B151" s="265" t="s">
        <v>1834</v>
      </c>
      <c r="C151" s="263" t="s">
        <v>553</v>
      </c>
      <c r="D151" s="263">
        <v>1</v>
      </c>
      <c r="E151" s="171">
        <v>44270</v>
      </c>
      <c r="F151" s="264">
        <v>4012190</v>
      </c>
      <c r="G151" s="268">
        <v>19269510</v>
      </c>
      <c r="H151" s="264"/>
      <c r="I151" s="264">
        <v>1</v>
      </c>
      <c r="J151" s="272"/>
      <c r="K151" s="264"/>
      <c r="L151" s="264"/>
      <c r="M151" s="275"/>
    </row>
    <row r="152" spans="2:13" ht="16.5" customHeight="1">
      <c r="B152" s="265" t="s">
        <v>1835</v>
      </c>
      <c r="C152" s="263" t="s">
        <v>554</v>
      </c>
      <c r="D152" s="263">
        <v>1</v>
      </c>
      <c r="E152" s="171">
        <v>44550</v>
      </c>
      <c r="F152" s="264">
        <v>3681190</v>
      </c>
      <c r="G152" s="268">
        <v>14855880</v>
      </c>
      <c r="H152" s="264"/>
      <c r="I152" s="264">
        <v>1</v>
      </c>
      <c r="J152" s="272"/>
      <c r="K152" s="264"/>
      <c r="L152" s="264"/>
      <c r="M152" s="275"/>
    </row>
    <row r="153" spans="2:13" ht="16.5" customHeight="1">
      <c r="B153" s="265" t="s">
        <v>1836</v>
      </c>
      <c r="C153" s="263" t="s">
        <v>555</v>
      </c>
      <c r="D153" s="263">
        <v>2</v>
      </c>
      <c r="E153" s="171">
        <v>45411</v>
      </c>
      <c r="F153" s="264">
        <v>4156740</v>
      </c>
      <c r="G153" s="268">
        <v>6969660</v>
      </c>
      <c r="H153" s="264"/>
      <c r="I153" s="264">
        <v>1</v>
      </c>
      <c r="J153" s="272"/>
      <c r="K153" s="264"/>
      <c r="L153" s="264"/>
      <c r="M153" s="275"/>
    </row>
    <row r="154" spans="2:13" ht="16.5" customHeight="1">
      <c r="B154" s="265" t="s">
        <v>1837</v>
      </c>
      <c r="C154" s="263" t="s">
        <v>556</v>
      </c>
      <c r="D154" s="263">
        <v>2</v>
      </c>
      <c r="E154" s="171">
        <v>45425</v>
      </c>
      <c r="F154" s="264">
        <v>3533110</v>
      </c>
      <c r="G154" s="268">
        <v>5788500</v>
      </c>
      <c r="H154" s="264"/>
      <c r="I154" s="264">
        <v>1</v>
      </c>
      <c r="J154" s="272"/>
      <c r="K154" s="264"/>
      <c r="L154" s="264"/>
      <c r="M154" s="275"/>
    </row>
    <row r="155" spans="2:13" ht="16.5" customHeight="1">
      <c r="B155" s="265" t="s">
        <v>1838</v>
      </c>
      <c r="C155" s="263" t="s">
        <v>557</v>
      </c>
      <c r="D155" s="263">
        <v>2</v>
      </c>
      <c r="E155" s="171">
        <v>45502</v>
      </c>
      <c r="F155" s="264">
        <v>3557413.3333333335</v>
      </c>
      <c r="G155" s="268">
        <v>5077850</v>
      </c>
      <c r="H155" s="264"/>
      <c r="I155" s="264">
        <v>1</v>
      </c>
      <c r="J155" s="272"/>
      <c r="K155" s="264"/>
      <c r="L155" s="264"/>
      <c r="M155" s="275"/>
    </row>
    <row r="156" spans="2:13" ht="16.5" customHeight="1">
      <c r="B156" s="265" t="s">
        <v>1839</v>
      </c>
      <c r="C156" s="263" t="s">
        <v>558</v>
      </c>
      <c r="D156" s="263">
        <v>2</v>
      </c>
      <c r="E156" s="171">
        <v>45635</v>
      </c>
      <c r="F156" s="264">
        <v>3000000</v>
      </c>
      <c r="G156" s="268">
        <v>3189050</v>
      </c>
      <c r="H156" s="264"/>
      <c r="I156" s="264">
        <v>1</v>
      </c>
      <c r="J156" s="272"/>
      <c r="K156" s="264"/>
      <c r="L156" s="264"/>
      <c r="M156" s="275"/>
    </row>
    <row r="157" spans="2:13" ht="16.5" customHeight="1">
      <c r="B157" s="265" t="s">
        <v>1840</v>
      </c>
      <c r="C157" s="263" t="s">
        <v>559</v>
      </c>
      <c r="D157" s="263">
        <v>1</v>
      </c>
      <c r="E157" s="171">
        <v>44809</v>
      </c>
      <c r="F157" s="264">
        <v>8412400</v>
      </c>
      <c r="G157" s="268">
        <v>5646680</v>
      </c>
      <c r="H157" s="264"/>
      <c r="I157" s="264">
        <v>1</v>
      </c>
      <c r="J157" s="272">
        <v>45777</v>
      </c>
      <c r="K157" s="264">
        <v>22857010</v>
      </c>
      <c r="L157" s="264"/>
      <c r="M157" s="275"/>
    </row>
    <row r="158" spans="2:13" ht="16.5" customHeight="1">
      <c r="B158" s="265" t="s">
        <v>1841</v>
      </c>
      <c r="C158" s="263" t="s">
        <v>560</v>
      </c>
      <c r="D158" s="263">
        <v>1</v>
      </c>
      <c r="E158" s="171">
        <v>44781</v>
      </c>
      <c r="F158" s="264">
        <v>3597500</v>
      </c>
      <c r="G158" s="268">
        <v>12241360</v>
      </c>
      <c r="H158" s="264"/>
      <c r="I158" s="264">
        <v>1</v>
      </c>
      <c r="J158" s="272"/>
      <c r="K158" s="264"/>
      <c r="L158" s="264"/>
      <c r="M158" s="275"/>
    </row>
    <row r="159" spans="2:13" ht="16.5" customHeight="1">
      <c r="B159" s="265" t="s">
        <v>1842</v>
      </c>
      <c r="C159" s="263" t="s">
        <v>561</v>
      </c>
      <c r="D159" s="263">
        <v>1</v>
      </c>
      <c r="E159" s="171">
        <v>44931</v>
      </c>
      <c r="F159" s="264">
        <v>6259070</v>
      </c>
      <c r="G159" s="268">
        <v>18725770</v>
      </c>
      <c r="H159" s="264"/>
      <c r="I159" s="264">
        <v>1</v>
      </c>
      <c r="J159" s="272"/>
      <c r="K159" s="264"/>
      <c r="L159" s="264"/>
      <c r="M159" s="275"/>
    </row>
    <row r="160" spans="2:13" ht="16.5" customHeight="1">
      <c r="B160" s="265" t="s">
        <v>1843</v>
      </c>
      <c r="C160" s="263" t="s">
        <v>562</v>
      </c>
      <c r="D160" s="263">
        <v>1</v>
      </c>
      <c r="E160" s="171">
        <v>45005</v>
      </c>
      <c r="F160" s="264">
        <v>4670320</v>
      </c>
      <c r="G160" s="268">
        <v>13025720</v>
      </c>
      <c r="H160" s="264"/>
      <c r="I160" s="264">
        <v>1</v>
      </c>
      <c r="J160" s="272"/>
      <c r="K160" s="264"/>
      <c r="L160" s="264"/>
      <c r="M160" s="275"/>
    </row>
    <row r="161" spans="2:13" ht="16.5" customHeight="1">
      <c r="B161" s="265" t="s">
        <v>1844</v>
      </c>
      <c r="C161" s="263" t="s">
        <v>563</v>
      </c>
      <c r="D161" s="263">
        <v>1</v>
      </c>
      <c r="E161" s="171">
        <v>44993</v>
      </c>
      <c r="F161" s="264">
        <v>6227220</v>
      </c>
      <c r="G161" s="268">
        <v>17572710</v>
      </c>
      <c r="H161" s="264"/>
      <c r="I161" s="264">
        <v>1</v>
      </c>
      <c r="J161" s="272"/>
      <c r="K161" s="264"/>
      <c r="L161" s="264"/>
      <c r="M161" s="275"/>
    </row>
    <row r="162" spans="2:13" ht="16.5" customHeight="1">
      <c r="B162" s="265" t="s">
        <v>1845</v>
      </c>
      <c r="C162" s="263" t="s">
        <v>564</v>
      </c>
      <c r="D162" s="263">
        <v>1</v>
      </c>
      <c r="E162" s="171">
        <v>44789</v>
      </c>
      <c r="F162" s="264">
        <v>5112350</v>
      </c>
      <c r="G162" s="268">
        <v>17283950</v>
      </c>
      <c r="H162" s="264"/>
      <c r="I162" s="264">
        <v>1</v>
      </c>
      <c r="J162" s="272"/>
      <c r="K162" s="264"/>
      <c r="L162" s="264"/>
      <c r="M162" s="275"/>
    </row>
    <row r="163" spans="2:13" ht="16.5" customHeight="1">
      <c r="B163" s="265" t="s">
        <v>1846</v>
      </c>
      <c r="C163" s="263" t="s">
        <v>565</v>
      </c>
      <c r="D163" s="263">
        <v>1</v>
      </c>
      <c r="E163" s="171">
        <v>45040</v>
      </c>
      <c r="F163" s="264">
        <v>3786250</v>
      </c>
      <c r="G163" s="268">
        <v>10196950</v>
      </c>
      <c r="H163" s="264"/>
      <c r="I163" s="264">
        <v>1</v>
      </c>
      <c r="J163" s="272"/>
      <c r="K163" s="264"/>
      <c r="L163" s="264"/>
      <c r="M163" s="275"/>
    </row>
    <row r="164" spans="2:13" ht="16.5" customHeight="1">
      <c r="B164" s="265" t="s">
        <v>1847</v>
      </c>
      <c r="C164" s="263" t="s">
        <v>566</v>
      </c>
      <c r="D164" s="263">
        <v>1</v>
      </c>
      <c r="E164" s="171">
        <v>45103</v>
      </c>
      <c r="F164" s="264">
        <v>5710000</v>
      </c>
      <c r="G164" s="268">
        <v>14392330</v>
      </c>
      <c r="H164" s="264"/>
      <c r="I164" s="264">
        <v>1</v>
      </c>
      <c r="J164" s="272"/>
      <c r="K164" s="264"/>
      <c r="L164" s="264"/>
      <c r="M164" s="275"/>
    </row>
    <row r="165" spans="2:13" ht="16.5" customHeight="1">
      <c r="B165" s="265" t="s">
        <v>1848</v>
      </c>
      <c r="C165" s="263" t="s">
        <v>567</v>
      </c>
      <c r="D165" s="263">
        <v>1</v>
      </c>
      <c r="E165" s="171">
        <v>40647</v>
      </c>
      <c r="F165" s="264">
        <v>7782095.833333333</v>
      </c>
      <c r="G165" s="268">
        <v>6524170</v>
      </c>
      <c r="H165" s="264"/>
      <c r="I165" s="264">
        <v>1</v>
      </c>
      <c r="J165" s="272">
        <v>45716</v>
      </c>
      <c r="K165" s="264">
        <v>109080380</v>
      </c>
      <c r="L165" s="264"/>
      <c r="M165" s="275"/>
    </row>
    <row r="166" spans="2:13" ht="16.5" customHeight="1">
      <c r="B166" s="265" t="s">
        <v>1849</v>
      </c>
      <c r="C166" s="263" t="s">
        <v>568</v>
      </c>
      <c r="D166" s="263">
        <v>1</v>
      </c>
      <c r="E166" s="171">
        <v>44137</v>
      </c>
      <c r="F166" s="264">
        <v>5534474.166666667</v>
      </c>
      <c r="G166" s="268">
        <v>28597320</v>
      </c>
      <c r="H166" s="264"/>
      <c r="I166" s="264">
        <v>1</v>
      </c>
      <c r="J166" s="272"/>
      <c r="K166" s="264"/>
      <c r="L166" s="264"/>
      <c r="M166" s="275"/>
    </row>
    <row r="167" spans="2:13" ht="16.5" customHeight="1">
      <c r="B167" s="265" t="s">
        <v>1850</v>
      </c>
      <c r="C167" s="263" t="s">
        <v>569</v>
      </c>
      <c r="D167" s="263">
        <v>2</v>
      </c>
      <c r="E167" s="171">
        <v>43405</v>
      </c>
      <c r="F167" s="264">
        <v>3875860</v>
      </c>
      <c r="G167" s="268">
        <v>19559820</v>
      </c>
      <c r="H167" s="264"/>
      <c r="I167" s="264">
        <v>1</v>
      </c>
      <c r="J167" s="272">
        <v>44180</v>
      </c>
      <c r="K167" s="264"/>
      <c r="L167" s="264"/>
      <c r="M167" s="275"/>
    </row>
    <row r="168" spans="2:13" ht="16.5" customHeight="1">
      <c r="B168" s="265" t="s">
        <v>1851</v>
      </c>
      <c r="C168" s="263" t="s">
        <v>570</v>
      </c>
      <c r="D168" s="263">
        <v>1</v>
      </c>
      <c r="E168" s="171">
        <v>44725</v>
      </c>
      <c r="F168" s="264">
        <v>3347783.3333333335</v>
      </c>
      <c r="G168" s="268">
        <v>11905270</v>
      </c>
      <c r="H168" s="264"/>
      <c r="I168" s="264">
        <v>1</v>
      </c>
      <c r="J168" s="272"/>
      <c r="K168" s="264"/>
      <c r="L168" s="264"/>
      <c r="M168" s="275"/>
    </row>
    <row r="169" spans="2:13" ht="16.5" customHeight="1">
      <c r="B169" s="265" t="s">
        <v>1852</v>
      </c>
      <c r="C169" s="263" t="s">
        <v>571</v>
      </c>
      <c r="D169" s="263">
        <v>2</v>
      </c>
      <c r="E169" s="171">
        <v>44340</v>
      </c>
      <c r="F169" s="264">
        <v>4636163.333333333</v>
      </c>
      <c r="G169" s="268">
        <v>21377160</v>
      </c>
      <c r="H169" s="264"/>
      <c r="I169" s="264">
        <v>1</v>
      </c>
      <c r="J169" s="272"/>
      <c r="K169" s="264"/>
      <c r="L169" s="264"/>
      <c r="M169" s="275"/>
    </row>
    <row r="170" spans="2:13" ht="16.5" customHeight="1">
      <c r="B170" s="265" t="s">
        <v>1853</v>
      </c>
      <c r="C170" s="263" t="s">
        <v>572</v>
      </c>
      <c r="D170" s="263">
        <v>2</v>
      </c>
      <c r="E170" s="171">
        <v>44494</v>
      </c>
      <c r="F170" s="264">
        <v>4869990</v>
      </c>
      <c r="G170" s="268">
        <v>20400590</v>
      </c>
      <c r="H170" s="264"/>
      <c r="I170" s="264">
        <v>1</v>
      </c>
      <c r="J170" s="272"/>
      <c r="K170" s="264"/>
      <c r="L170" s="264"/>
      <c r="M170" s="275"/>
    </row>
    <row r="171" spans="2:13" ht="16.5" customHeight="1">
      <c r="B171" s="265" t="s">
        <v>1854</v>
      </c>
      <c r="C171" s="263" t="s">
        <v>573</v>
      </c>
      <c r="D171" s="263">
        <v>1</v>
      </c>
      <c r="E171" s="171">
        <v>44683</v>
      </c>
      <c r="F171" s="264">
        <v>4284425</v>
      </c>
      <c r="G171" s="268">
        <v>15729130</v>
      </c>
      <c r="H171" s="264"/>
      <c r="I171" s="264">
        <v>1</v>
      </c>
      <c r="J171" s="272"/>
      <c r="K171" s="264"/>
      <c r="L171" s="264"/>
      <c r="M171" s="275"/>
    </row>
    <row r="172" spans="2:13" ht="16.5" customHeight="1">
      <c r="B172" s="265" t="s">
        <v>1855</v>
      </c>
      <c r="C172" s="263" t="s">
        <v>574</v>
      </c>
      <c r="D172" s="263">
        <v>1</v>
      </c>
      <c r="E172" s="171">
        <v>44144</v>
      </c>
      <c r="F172" s="264">
        <v>5032900.833333333</v>
      </c>
      <c r="G172" s="268">
        <v>25909100</v>
      </c>
      <c r="H172" s="264"/>
      <c r="I172" s="264">
        <v>1</v>
      </c>
      <c r="J172" s="272"/>
      <c r="K172" s="264"/>
      <c r="L172" s="264"/>
      <c r="M172" s="275"/>
    </row>
    <row r="173" spans="2:13" ht="16.5" customHeight="1">
      <c r="B173" s="265" t="s">
        <v>1856</v>
      </c>
      <c r="C173" s="263" t="s">
        <v>575</v>
      </c>
      <c r="D173" s="263">
        <v>1</v>
      </c>
      <c r="E173" s="171">
        <v>45166</v>
      </c>
      <c r="F173" s="264">
        <v>7514635.833333333</v>
      </c>
      <c r="G173" s="268">
        <v>17643960</v>
      </c>
      <c r="H173" s="264"/>
      <c r="I173" s="264">
        <v>1</v>
      </c>
      <c r="J173" s="272"/>
      <c r="K173" s="264"/>
      <c r="L173" s="264"/>
      <c r="M173" s="275"/>
    </row>
    <row r="174" spans="2:13" ht="16.5" customHeight="1">
      <c r="B174" s="265" t="s">
        <v>1857</v>
      </c>
      <c r="C174" s="263" t="s">
        <v>576</v>
      </c>
      <c r="D174" s="263">
        <v>2</v>
      </c>
      <c r="E174" s="171">
        <v>43899</v>
      </c>
      <c r="F174" s="264">
        <v>5409170</v>
      </c>
      <c r="G174" s="268">
        <v>31476930</v>
      </c>
      <c r="H174" s="264"/>
      <c r="I174" s="264">
        <v>1</v>
      </c>
      <c r="J174" s="272"/>
      <c r="K174" s="264"/>
      <c r="L174" s="264"/>
      <c r="M174" s="275"/>
    </row>
    <row r="175" spans="2:13" ht="16.5" customHeight="1">
      <c r="B175" s="265" t="s">
        <v>1858</v>
      </c>
      <c r="C175" s="263" t="s">
        <v>577</v>
      </c>
      <c r="D175" s="263">
        <v>2</v>
      </c>
      <c r="E175" s="171">
        <v>44095</v>
      </c>
      <c r="F175" s="264">
        <v>3768800</v>
      </c>
      <c r="G175" s="268">
        <v>19907530</v>
      </c>
      <c r="H175" s="264"/>
      <c r="I175" s="264">
        <v>1</v>
      </c>
      <c r="J175" s="272"/>
      <c r="K175" s="264"/>
      <c r="L175" s="264"/>
      <c r="M175" s="275"/>
    </row>
    <row r="176" spans="2:13" ht="16.5" customHeight="1">
      <c r="B176" s="265" t="s">
        <v>1859</v>
      </c>
      <c r="C176" s="263" t="s">
        <v>578</v>
      </c>
      <c r="D176" s="263">
        <v>2</v>
      </c>
      <c r="E176" s="171">
        <v>44319</v>
      </c>
      <c r="F176" s="264">
        <v>4470290</v>
      </c>
      <c r="G176" s="268">
        <v>20869520</v>
      </c>
      <c r="H176" s="264"/>
      <c r="I176" s="264">
        <v>1</v>
      </c>
      <c r="J176" s="272"/>
      <c r="K176" s="264"/>
      <c r="L176" s="264"/>
      <c r="M176" s="275"/>
    </row>
    <row r="177" spans="2:13" ht="16.5" customHeight="1">
      <c r="B177" s="265" t="s">
        <v>1860</v>
      </c>
      <c r="C177" s="263" t="s">
        <v>579</v>
      </c>
      <c r="D177" s="263">
        <v>2</v>
      </c>
      <c r="E177" s="171">
        <v>45166</v>
      </c>
      <c r="F177" s="264">
        <v>3995840</v>
      </c>
      <c r="G177" s="268">
        <v>9382020</v>
      </c>
      <c r="H177" s="264"/>
      <c r="I177" s="264">
        <v>1</v>
      </c>
      <c r="J177" s="272"/>
      <c r="K177" s="264"/>
      <c r="L177" s="264"/>
      <c r="M177" s="275"/>
    </row>
    <row r="178" spans="2:13" ht="16.5" customHeight="1">
      <c r="B178" s="265" t="s">
        <v>1861</v>
      </c>
      <c r="C178" s="263" t="s">
        <v>580</v>
      </c>
      <c r="D178" s="263">
        <v>1</v>
      </c>
      <c r="E178" s="171">
        <v>36612</v>
      </c>
      <c r="F178" s="264">
        <v>8013844.166666667</v>
      </c>
      <c r="G178" s="268">
        <v>28103350</v>
      </c>
      <c r="H178" s="264"/>
      <c r="I178" s="264">
        <v>1</v>
      </c>
      <c r="J178" s="272">
        <v>44742</v>
      </c>
      <c r="K178" s="264"/>
      <c r="L178" s="264"/>
      <c r="M178" s="275"/>
    </row>
    <row r="179" spans="2:13" ht="16.5" customHeight="1">
      <c r="B179" s="265" t="s">
        <v>1862</v>
      </c>
      <c r="C179" s="263" t="s">
        <v>581</v>
      </c>
      <c r="D179" s="263">
        <v>1</v>
      </c>
      <c r="E179" s="171">
        <v>44501</v>
      </c>
      <c r="F179" s="264">
        <v>5894314.166666667</v>
      </c>
      <c r="G179" s="268">
        <v>24578490</v>
      </c>
      <c r="H179" s="264"/>
      <c r="I179" s="264">
        <v>1</v>
      </c>
      <c r="J179" s="272"/>
      <c r="K179" s="264"/>
      <c r="L179" s="264"/>
      <c r="M179" s="275"/>
    </row>
    <row r="180" spans="2:13" ht="16.5" customHeight="1">
      <c r="B180" s="265" t="s">
        <v>1863</v>
      </c>
      <c r="C180" s="263" t="s">
        <v>582</v>
      </c>
      <c r="D180" s="263">
        <v>1</v>
      </c>
      <c r="E180" s="171">
        <v>44186</v>
      </c>
      <c r="F180" s="264">
        <v>5358465</v>
      </c>
      <c r="G180" s="268">
        <v>11627140</v>
      </c>
      <c r="H180" s="264"/>
      <c r="I180" s="264">
        <v>1</v>
      </c>
      <c r="J180" s="272">
        <v>45230</v>
      </c>
      <c r="K180" s="264"/>
      <c r="L180" s="264"/>
      <c r="M180" s="275"/>
    </row>
    <row r="181" spans="2:13" ht="16.5" customHeight="1">
      <c r="B181" s="265" t="s">
        <v>1864</v>
      </c>
      <c r="C181" s="263" t="s">
        <v>583</v>
      </c>
      <c r="D181" s="263">
        <v>1</v>
      </c>
      <c r="E181" s="171">
        <v>45509</v>
      </c>
      <c r="F181" s="264">
        <v>5552500</v>
      </c>
      <c r="G181" s="268">
        <v>7819140</v>
      </c>
      <c r="H181" s="264"/>
      <c r="I181" s="264">
        <v>1</v>
      </c>
      <c r="J181" s="272"/>
      <c r="K181" s="264"/>
      <c r="L181" s="264"/>
      <c r="M181" s="275"/>
    </row>
    <row r="182" spans="2:13" ht="16.5" customHeight="1">
      <c r="B182" s="265" t="s">
        <v>1865</v>
      </c>
      <c r="C182" s="263" t="s">
        <v>584</v>
      </c>
      <c r="D182" s="263">
        <v>1</v>
      </c>
      <c r="E182" s="171">
        <v>39874</v>
      </c>
      <c r="F182" s="264">
        <v>7375520</v>
      </c>
      <c r="G182" s="268">
        <v>52295470</v>
      </c>
      <c r="H182" s="264"/>
      <c r="I182" s="264">
        <v>1</v>
      </c>
      <c r="J182" s="272">
        <v>43434</v>
      </c>
      <c r="K182" s="264"/>
      <c r="L182" s="264"/>
      <c r="M182" s="275"/>
    </row>
    <row r="183" spans="2:13" ht="16.5" customHeight="1">
      <c r="B183" s="265" t="s">
        <v>1866</v>
      </c>
      <c r="C183" s="263" t="s">
        <v>585</v>
      </c>
      <c r="D183" s="263">
        <v>2</v>
      </c>
      <c r="E183" s="171">
        <v>44501</v>
      </c>
      <c r="F183" s="264">
        <v>3480263.3333333335</v>
      </c>
      <c r="G183" s="268">
        <v>14512230</v>
      </c>
      <c r="H183" s="264"/>
      <c r="I183" s="264">
        <v>1</v>
      </c>
      <c r="J183" s="272"/>
      <c r="K183" s="264"/>
      <c r="L183" s="264"/>
      <c r="M183" s="275"/>
    </row>
    <row r="184" spans="2:13" ht="16.5" customHeight="1">
      <c r="B184" s="265" t="s">
        <v>1867</v>
      </c>
      <c r="C184" s="263" t="s">
        <v>586</v>
      </c>
      <c r="D184" s="263">
        <v>1</v>
      </c>
      <c r="E184" s="171">
        <v>43507</v>
      </c>
      <c r="F184" s="264">
        <v>6633369.166666667</v>
      </c>
      <c r="G184" s="268">
        <v>45724820</v>
      </c>
      <c r="H184" s="264"/>
      <c r="I184" s="264">
        <v>1</v>
      </c>
      <c r="J184" s="272"/>
      <c r="K184" s="264"/>
      <c r="L184" s="264"/>
      <c r="M184" s="275"/>
    </row>
    <row r="185" spans="2:13" ht="16.5" customHeight="1">
      <c r="B185" s="265" t="s">
        <v>1868</v>
      </c>
      <c r="C185" s="263" t="s">
        <v>587</v>
      </c>
      <c r="D185" s="263">
        <v>1</v>
      </c>
      <c r="E185" s="171">
        <v>41426</v>
      </c>
      <c r="F185" s="264">
        <v>5852439.166666667</v>
      </c>
      <c r="G185" s="268">
        <v>73708670</v>
      </c>
      <c r="H185" s="264"/>
      <c r="I185" s="264">
        <v>1</v>
      </c>
      <c r="J185" s="272"/>
      <c r="K185" s="264"/>
      <c r="L185" s="264"/>
      <c r="M185" s="275"/>
    </row>
    <row r="186" spans="2:13" ht="16.5" customHeight="1">
      <c r="B186" s="265" t="s">
        <v>1869</v>
      </c>
      <c r="C186" s="263" t="s">
        <v>588</v>
      </c>
      <c r="D186" s="263">
        <v>1</v>
      </c>
      <c r="E186" s="171">
        <v>43437</v>
      </c>
      <c r="F186" s="264">
        <v>4334301.666666667</v>
      </c>
      <c r="G186" s="268">
        <v>30708240</v>
      </c>
      <c r="H186" s="264"/>
      <c r="I186" s="264">
        <v>1</v>
      </c>
      <c r="J186" s="272"/>
      <c r="K186" s="264"/>
      <c r="L186" s="264"/>
      <c r="M186" s="275"/>
    </row>
    <row r="187" spans="2:13" ht="16.5" customHeight="1">
      <c r="B187" s="265" t="s">
        <v>1870</v>
      </c>
      <c r="C187" s="263" t="s">
        <v>589</v>
      </c>
      <c r="D187" s="263">
        <v>1</v>
      </c>
      <c r="E187" s="171">
        <v>44662</v>
      </c>
      <c r="F187" s="264">
        <v>4246413.333333333</v>
      </c>
      <c r="G187" s="268">
        <v>15833890</v>
      </c>
      <c r="H187" s="264"/>
      <c r="I187" s="264">
        <v>1</v>
      </c>
      <c r="J187" s="272"/>
      <c r="K187" s="264"/>
      <c r="L187" s="264"/>
      <c r="M187" s="275"/>
    </row>
    <row r="188" spans="2:13" ht="16.5" customHeight="1">
      <c r="B188" s="265" t="s">
        <v>1871</v>
      </c>
      <c r="C188" s="263" t="s">
        <v>590</v>
      </c>
      <c r="D188" s="263">
        <v>2</v>
      </c>
      <c r="E188" s="171">
        <v>44769</v>
      </c>
      <c r="F188" s="264">
        <v>3490420</v>
      </c>
      <c r="G188" s="268">
        <v>11991750</v>
      </c>
      <c r="H188" s="264"/>
      <c r="I188" s="264">
        <v>1</v>
      </c>
      <c r="J188" s="272"/>
      <c r="K188" s="264"/>
      <c r="L188" s="264"/>
      <c r="M188" s="275"/>
    </row>
    <row r="189" spans="2:13" ht="16.5" customHeight="1">
      <c r="B189" s="265" t="s">
        <v>1872</v>
      </c>
      <c r="C189" s="263" t="s">
        <v>591</v>
      </c>
      <c r="D189" s="263">
        <v>2</v>
      </c>
      <c r="E189" s="171">
        <v>44006</v>
      </c>
      <c r="F189" s="264">
        <v>4791798.333333333</v>
      </c>
      <c r="G189" s="268">
        <v>12813140</v>
      </c>
      <c r="H189" s="264"/>
      <c r="I189" s="264">
        <v>1</v>
      </c>
      <c r="J189" s="272">
        <v>45046</v>
      </c>
      <c r="K189" s="264"/>
      <c r="L189" s="264"/>
      <c r="M189" s="275"/>
    </row>
    <row r="190" spans="2:13" ht="16.5" customHeight="1">
      <c r="B190" s="265" t="s">
        <v>1873</v>
      </c>
      <c r="C190" s="263" t="s">
        <v>592</v>
      </c>
      <c r="D190" s="263">
        <v>2</v>
      </c>
      <c r="E190" s="171">
        <v>44719</v>
      </c>
      <c r="F190" s="264">
        <v>3657500</v>
      </c>
      <c r="G190" s="268">
        <v>13066800</v>
      </c>
      <c r="H190" s="264"/>
      <c r="I190" s="264">
        <v>1</v>
      </c>
      <c r="J190" s="272"/>
      <c r="K190" s="264"/>
      <c r="L190" s="264"/>
      <c r="M190" s="275"/>
    </row>
    <row r="191" spans="2:13" ht="16.5" customHeight="1">
      <c r="B191" s="265" t="s">
        <v>1874</v>
      </c>
      <c r="C191" s="263" t="s">
        <v>593</v>
      </c>
      <c r="D191" s="263">
        <v>1</v>
      </c>
      <c r="E191" s="171">
        <v>41549</v>
      </c>
      <c r="F191" s="264">
        <v>5259286.666666667</v>
      </c>
      <c r="G191" s="268">
        <v>64465890</v>
      </c>
      <c r="H191" s="264"/>
      <c r="I191" s="264">
        <v>1</v>
      </c>
      <c r="J191" s="272"/>
      <c r="K191" s="264"/>
      <c r="L191" s="264"/>
      <c r="M191" s="275"/>
    </row>
    <row r="192" spans="2:13" ht="16.5" customHeight="1">
      <c r="B192" s="265" t="s">
        <v>1875</v>
      </c>
      <c r="C192" s="263" t="s">
        <v>594</v>
      </c>
      <c r="D192" s="263">
        <v>2</v>
      </c>
      <c r="E192" s="171">
        <v>40127</v>
      </c>
      <c r="F192" s="264">
        <v>5100460.833333333</v>
      </c>
      <c r="G192" s="268">
        <v>82389910</v>
      </c>
      <c r="H192" s="264"/>
      <c r="I192" s="264">
        <v>1</v>
      </c>
      <c r="J192" s="272"/>
      <c r="K192" s="264"/>
      <c r="L192" s="264"/>
      <c r="M192" s="275"/>
    </row>
    <row r="193" spans="2:13" ht="16.5" customHeight="1">
      <c r="B193" s="265" t="s">
        <v>1876</v>
      </c>
      <c r="C193" s="263" t="s">
        <v>595</v>
      </c>
      <c r="D193" s="263">
        <v>2</v>
      </c>
      <c r="E193" s="171">
        <v>42159</v>
      </c>
      <c r="F193" s="264">
        <v>4255330</v>
      </c>
      <c r="G193" s="268">
        <v>45048210</v>
      </c>
      <c r="H193" s="264"/>
      <c r="I193" s="264">
        <v>1</v>
      </c>
      <c r="J193" s="272"/>
      <c r="K193" s="264"/>
      <c r="L193" s="264"/>
      <c r="M193" s="275"/>
    </row>
    <row r="194" spans="2:13" ht="16.5" customHeight="1">
      <c r="B194" s="265" t="s">
        <v>1877</v>
      </c>
      <c r="C194" s="263" t="s">
        <v>596</v>
      </c>
      <c r="D194" s="263">
        <v>1</v>
      </c>
      <c r="E194" s="171">
        <v>43510</v>
      </c>
      <c r="F194" s="264">
        <v>4769547.5</v>
      </c>
      <c r="G194" s="268">
        <v>32838010</v>
      </c>
      <c r="H194" s="264"/>
      <c r="I194" s="264">
        <v>1</v>
      </c>
      <c r="J194" s="272"/>
      <c r="K194" s="264"/>
      <c r="L194" s="264"/>
      <c r="M194" s="275"/>
    </row>
    <row r="195" spans="2:13" ht="16.5" customHeight="1">
      <c r="B195" s="265" t="s">
        <v>1878</v>
      </c>
      <c r="C195" s="263" t="s">
        <v>597</v>
      </c>
      <c r="D195" s="263">
        <v>2</v>
      </c>
      <c r="E195" s="171">
        <v>44622</v>
      </c>
      <c r="F195" s="264">
        <v>3291800</v>
      </c>
      <c r="G195" s="268">
        <v>12635110</v>
      </c>
      <c r="H195" s="264"/>
      <c r="I195" s="264">
        <v>1</v>
      </c>
      <c r="J195" s="272"/>
      <c r="K195" s="264"/>
      <c r="L195" s="264"/>
      <c r="M195" s="275"/>
    </row>
    <row r="196" spans="2:13" ht="16.5" customHeight="1">
      <c r="B196" s="265" t="s">
        <v>1879</v>
      </c>
      <c r="C196" s="263" t="s">
        <v>598</v>
      </c>
      <c r="D196" s="263">
        <v>2</v>
      </c>
      <c r="E196" s="171">
        <v>44719</v>
      </c>
      <c r="F196" s="264">
        <v>3500951.6666666665</v>
      </c>
      <c r="G196" s="268">
        <v>12507510</v>
      </c>
      <c r="H196" s="264"/>
      <c r="I196" s="264">
        <v>1</v>
      </c>
      <c r="J196" s="272"/>
      <c r="K196" s="264"/>
      <c r="L196" s="264"/>
      <c r="M196" s="275"/>
    </row>
    <row r="197" spans="2:13" ht="16.5" customHeight="1">
      <c r="B197" s="265" t="s">
        <v>1880</v>
      </c>
      <c r="C197" s="263" t="s">
        <v>599</v>
      </c>
      <c r="D197" s="263">
        <v>1</v>
      </c>
      <c r="E197" s="171">
        <v>43892</v>
      </c>
      <c r="F197" s="264">
        <v>7639231.666666667</v>
      </c>
      <c r="G197" s="268">
        <v>44600560</v>
      </c>
      <c r="H197" s="264"/>
      <c r="I197" s="264">
        <v>1</v>
      </c>
      <c r="J197" s="272"/>
      <c r="K197" s="264"/>
      <c r="L197" s="264"/>
      <c r="M197" s="275"/>
    </row>
    <row r="198" spans="2:13" ht="16.5" customHeight="1">
      <c r="B198" s="265" t="s">
        <v>1881</v>
      </c>
      <c r="C198" s="263" t="s">
        <v>600</v>
      </c>
      <c r="D198" s="263">
        <v>1</v>
      </c>
      <c r="E198" s="171">
        <v>44634</v>
      </c>
      <c r="F198" s="264">
        <v>4661090</v>
      </c>
      <c r="G198" s="268">
        <v>17737690</v>
      </c>
      <c r="H198" s="264"/>
      <c r="I198" s="264">
        <v>1</v>
      </c>
      <c r="J198" s="272"/>
      <c r="K198" s="264"/>
      <c r="L198" s="264"/>
      <c r="M198" s="275"/>
    </row>
    <row r="199" spans="2:13" ht="16.5" customHeight="1">
      <c r="B199" s="265" t="s">
        <v>1882</v>
      </c>
      <c r="C199" s="263" t="s">
        <v>601</v>
      </c>
      <c r="D199" s="263">
        <v>1</v>
      </c>
      <c r="E199" s="171">
        <v>43871</v>
      </c>
      <c r="F199" s="264">
        <v>4735328.333333333</v>
      </c>
      <c r="G199" s="268">
        <v>12259960</v>
      </c>
      <c r="H199" s="264"/>
      <c r="I199" s="264">
        <v>1</v>
      </c>
      <c r="J199" s="272">
        <v>45077</v>
      </c>
      <c r="K199" s="264"/>
      <c r="L199" s="264"/>
      <c r="M199" s="275"/>
    </row>
    <row r="200" spans="2:13" ht="16.5" customHeight="1">
      <c r="B200" s="265" t="s">
        <v>1883</v>
      </c>
      <c r="C200" s="263" t="s">
        <v>602</v>
      </c>
      <c r="D200" s="263">
        <v>1</v>
      </c>
      <c r="E200" s="171">
        <v>44595</v>
      </c>
      <c r="F200" s="264">
        <v>4791398.333333333</v>
      </c>
      <c r="G200" s="268">
        <v>12405130</v>
      </c>
      <c r="H200" s="264"/>
      <c r="I200" s="264">
        <v>1</v>
      </c>
      <c r="J200" s="272">
        <v>45077</v>
      </c>
      <c r="K200" s="264"/>
      <c r="L200" s="264"/>
      <c r="M200" s="275"/>
    </row>
    <row r="201" spans="2:13" ht="16.5" customHeight="1">
      <c r="B201" s="265" t="s">
        <v>1884</v>
      </c>
      <c r="C201" s="263" t="s">
        <v>603</v>
      </c>
      <c r="D201" s="263">
        <v>2</v>
      </c>
      <c r="E201" s="171">
        <v>45509</v>
      </c>
      <c r="F201" s="264">
        <v>3027500</v>
      </c>
      <c r="G201" s="268">
        <v>4263390</v>
      </c>
      <c r="H201" s="264"/>
      <c r="I201" s="264">
        <v>1</v>
      </c>
      <c r="J201" s="272"/>
      <c r="K201" s="264"/>
      <c r="L201" s="264"/>
      <c r="M201" s="275"/>
    </row>
    <row r="202" spans="2:13" ht="16.5" customHeight="1">
      <c r="B202" s="265" t="s">
        <v>1885</v>
      </c>
      <c r="C202" s="263" t="s">
        <v>604</v>
      </c>
      <c r="D202" s="263">
        <v>1</v>
      </c>
      <c r="E202" s="171">
        <v>44004</v>
      </c>
      <c r="F202" s="264">
        <v>4564622.5</v>
      </c>
      <c r="G202" s="268">
        <v>25249250</v>
      </c>
      <c r="H202" s="264"/>
      <c r="I202" s="264">
        <v>1</v>
      </c>
      <c r="J202" s="272"/>
      <c r="K202" s="264"/>
      <c r="L202" s="264"/>
      <c r="M202" s="275"/>
    </row>
    <row r="203" spans="2:13" ht="16.5" customHeight="1">
      <c r="B203" s="265" t="s">
        <v>1886</v>
      </c>
      <c r="C203" s="263" t="s">
        <v>605</v>
      </c>
      <c r="D203" s="263">
        <v>2</v>
      </c>
      <c r="E203" s="171">
        <v>44356</v>
      </c>
      <c r="F203" s="264">
        <v>4080600</v>
      </c>
      <c r="G203" s="268">
        <v>18636610</v>
      </c>
      <c r="H203" s="264"/>
      <c r="I203" s="264">
        <v>1</v>
      </c>
      <c r="J203" s="272"/>
      <c r="K203" s="264"/>
      <c r="L203" s="264"/>
      <c r="M203" s="275"/>
    </row>
    <row r="204" spans="2:13" ht="16.5" customHeight="1">
      <c r="B204" s="265" t="s">
        <v>1887</v>
      </c>
      <c r="C204" s="263" t="s">
        <v>606</v>
      </c>
      <c r="D204" s="263">
        <v>1</v>
      </c>
      <c r="E204" s="171">
        <v>45362</v>
      </c>
      <c r="F204" s="264">
        <v>4478130</v>
      </c>
      <c r="G204" s="268">
        <v>8109710</v>
      </c>
      <c r="H204" s="264"/>
      <c r="I204" s="264">
        <v>1</v>
      </c>
      <c r="J204" s="272"/>
      <c r="K204" s="264"/>
      <c r="L204" s="264"/>
      <c r="M204" s="275"/>
    </row>
    <row r="205" spans="2:13" ht="16.5" customHeight="1">
      <c r="B205" s="265" t="s">
        <v>1888</v>
      </c>
      <c r="C205" s="263" t="s">
        <v>502</v>
      </c>
      <c r="D205" s="263">
        <v>1</v>
      </c>
      <c r="E205" s="171">
        <v>45621</v>
      </c>
      <c r="F205" s="264">
        <v>4421380</v>
      </c>
      <c r="G205" s="268">
        <v>4869580</v>
      </c>
      <c r="H205" s="264"/>
      <c r="I205" s="264">
        <v>1</v>
      </c>
      <c r="J205" s="272"/>
      <c r="K205" s="264"/>
      <c r="L205" s="264"/>
      <c r="M205" s="275"/>
    </row>
    <row r="206" spans="2:13" ht="16.5" customHeight="1">
      <c r="B206" s="265" t="s">
        <v>1889</v>
      </c>
      <c r="C206" s="263" t="s">
        <v>607</v>
      </c>
      <c r="D206" s="263">
        <v>1</v>
      </c>
      <c r="E206" s="171">
        <v>44522</v>
      </c>
      <c r="F206" s="264">
        <v>8457770.833333334</v>
      </c>
      <c r="G206" s="268">
        <v>34781140</v>
      </c>
      <c r="H206" s="264"/>
      <c r="I206" s="264">
        <v>1</v>
      </c>
      <c r="J206" s="272"/>
      <c r="K206" s="264"/>
      <c r="L206" s="264"/>
      <c r="M206" s="275"/>
    </row>
    <row r="207" spans="2:13" ht="16.5" customHeight="1">
      <c r="B207" s="265" t="s">
        <v>1890</v>
      </c>
      <c r="C207" s="263" t="s">
        <v>608</v>
      </c>
      <c r="D207" s="263">
        <v>1</v>
      </c>
      <c r="E207" s="171">
        <v>45327</v>
      </c>
      <c r="F207" s="264">
        <v>3154170</v>
      </c>
      <c r="G207" s="268">
        <v>6014530</v>
      </c>
      <c r="H207" s="264"/>
      <c r="I207" s="264">
        <v>1</v>
      </c>
      <c r="J207" s="272"/>
      <c r="K207" s="264"/>
      <c r="L207" s="264"/>
      <c r="M207" s="275"/>
    </row>
    <row r="208" spans="2:13" ht="16.5" customHeight="1">
      <c r="B208" s="265" t="s">
        <v>1891</v>
      </c>
      <c r="C208" s="263" t="s">
        <v>609</v>
      </c>
      <c r="D208" s="263">
        <v>1</v>
      </c>
      <c r="E208" s="171">
        <v>45649</v>
      </c>
      <c r="F208" s="264">
        <v>8883340</v>
      </c>
      <c r="G208" s="268">
        <v>9102390</v>
      </c>
      <c r="H208" s="264"/>
      <c r="I208" s="264">
        <v>1</v>
      </c>
      <c r="J208" s="272"/>
      <c r="K208" s="264"/>
      <c r="L208" s="264"/>
      <c r="M208" s="275"/>
    </row>
    <row r="209" spans="2:13" ht="16.5" customHeight="1">
      <c r="B209" s="265" t="s">
        <v>1892</v>
      </c>
      <c r="C209" s="263" t="s">
        <v>610</v>
      </c>
      <c r="D209" s="263">
        <v>1</v>
      </c>
      <c r="E209" s="171">
        <v>44487</v>
      </c>
      <c r="F209" s="264">
        <v>5976000</v>
      </c>
      <c r="G209" s="268">
        <v>25148320</v>
      </c>
      <c r="H209" s="264"/>
      <c r="I209" s="264">
        <v>1</v>
      </c>
      <c r="J209" s="272"/>
      <c r="K209" s="264"/>
      <c r="L209" s="264"/>
      <c r="M209" s="275"/>
    </row>
    <row r="210" spans="2:13" ht="16.5" customHeight="1">
      <c r="B210" s="265" t="s">
        <v>1893</v>
      </c>
      <c r="C210" s="263" t="s">
        <v>611</v>
      </c>
      <c r="D210" s="263">
        <v>2</v>
      </c>
      <c r="E210" s="171">
        <v>43836</v>
      </c>
      <c r="F210" s="264">
        <v>3633945</v>
      </c>
      <c r="G210" s="268">
        <v>21773810</v>
      </c>
      <c r="H210" s="264"/>
      <c r="I210" s="264">
        <v>1</v>
      </c>
      <c r="J210" s="272"/>
      <c r="K210" s="264"/>
      <c r="L210" s="264"/>
      <c r="M210" s="275"/>
    </row>
    <row r="211" spans="2:13" ht="16.5" customHeight="1">
      <c r="B211" s="265" t="s">
        <v>1894</v>
      </c>
      <c r="C211" s="263" t="s">
        <v>612</v>
      </c>
      <c r="D211" s="263">
        <v>2</v>
      </c>
      <c r="E211" s="171">
        <v>43571</v>
      </c>
      <c r="F211" s="264">
        <v>4441750</v>
      </c>
      <c r="G211" s="268">
        <v>29838830</v>
      </c>
      <c r="H211" s="264"/>
      <c r="I211" s="264">
        <v>1</v>
      </c>
      <c r="J211" s="272"/>
      <c r="K211" s="264"/>
      <c r="L211" s="264"/>
      <c r="M211" s="275"/>
    </row>
    <row r="212" spans="2:13" ht="16.5" customHeight="1">
      <c r="B212" s="265" t="s">
        <v>1895</v>
      </c>
      <c r="C212" s="263" t="s">
        <v>613</v>
      </c>
      <c r="D212" s="263">
        <v>1</v>
      </c>
      <c r="E212" s="171">
        <v>44914</v>
      </c>
      <c r="F212" s="264">
        <v>3712510</v>
      </c>
      <c r="G212" s="268">
        <v>11279930</v>
      </c>
      <c r="H212" s="264"/>
      <c r="I212" s="264">
        <v>1</v>
      </c>
      <c r="J212" s="272"/>
      <c r="K212" s="264"/>
      <c r="L212" s="264"/>
      <c r="M212" s="275"/>
    </row>
    <row r="213" spans="2:13" ht="16.5" customHeight="1">
      <c r="B213" s="265" t="s">
        <v>1896</v>
      </c>
      <c r="C213" s="263" t="s">
        <v>614</v>
      </c>
      <c r="D213" s="263">
        <v>1</v>
      </c>
      <c r="E213" s="171">
        <v>45558</v>
      </c>
      <c r="F213" s="264">
        <v>4402103.333333333</v>
      </c>
      <c r="G213" s="268">
        <v>5608160</v>
      </c>
      <c r="H213" s="264"/>
      <c r="I213" s="264">
        <v>1</v>
      </c>
      <c r="J213" s="272"/>
      <c r="K213" s="264"/>
      <c r="L213" s="264"/>
      <c r="M213" s="275"/>
    </row>
    <row r="214" spans="2:13" ht="16.5" customHeight="1">
      <c r="B214" s="265" t="s">
        <v>1897</v>
      </c>
      <c r="C214" s="263" t="s">
        <v>615</v>
      </c>
      <c r="D214" s="263">
        <v>1</v>
      </c>
      <c r="E214" s="171">
        <v>37886</v>
      </c>
      <c r="F214" s="264">
        <v>8298070</v>
      </c>
      <c r="G214" s="268">
        <v>139816800</v>
      </c>
      <c r="H214" s="264"/>
      <c r="I214" s="264">
        <v>1</v>
      </c>
      <c r="J214" s="272">
        <v>39872</v>
      </c>
      <c r="K214" s="264"/>
      <c r="L214" s="264"/>
      <c r="M214" s="275"/>
    </row>
    <row r="215" spans="2:13" ht="16.5" customHeight="1">
      <c r="B215" s="265" t="s">
        <v>1898</v>
      </c>
      <c r="C215" s="263" t="s">
        <v>616</v>
      </c>
      <c r="D215" s="263">
        <v>1</v>
      </c>
      <c r="E215" s="171">
        <v>39000</v>
      </c>
      <c r="F215" s="264">
        <v>7174461.666666667</v>
      </c>
      <c r="G215" s="268">
        <v>120884770</v>
      </c>
      <c r="H215" s="264"/>
      <c r="I215" s="264">
        <v>1</v>
      </c>
      <c r="J215" s="272">
        <v>39872</v>
      </c>
      <c r="K215" s="264"/>
      <c r="L215" s="264"/>
      <c r="M215" s="275"/>
    </row>
    <row r="216" spans="2:13" ht="16.5" customHeight="1">
      <c r="B216" s="265" t="s">
        <v>1899</v>
      </c>
      <c r="C216" s="263" t="s">
        <v>617</v>
      </c>
      <c r="D216" s="263">
        <v>2</v>
      </c>
      <c r="E216" s="171">
        <v>39722</v>
      </c>
      <c r="F216" s="264">
        <v>5995455.833333333</v>
      </c>
      <c r="G216" s="268">
        <v>103499640</v>
      </c>
      <c r="H216" s="264"/>
      <c r="I216" s="264">
        <v>1</v>
      </c>
      <c r="J216" s="272"/>
      <c r="K216" s="264"/>
      <c r="L216" s="264"/>
      <c r="M216" s="275"/>
    </row>
    <row r="217" spans="2:13" ht="16.5" customHeight="1">
      <c r="B217" s="265" t="s">
        <v>1900</v>
      </c>
      <c r="C217" s="263" t="s">
        <v>618</v>
      </c>
      <c r="D217" s="263">
        <v>1</v>
      </c>
      <c r="E217" s="171">
        <v>40820</v>
      </c>
      <c r="F217" s="264">
        <v>5722985.833333333</v>
      </c>
      <c r="G217" s="268">
        <v>81579990</v>
      </c>
      <c r="H217" s="264"/>
      <c r="I217" s="264">
        <v>1</v>
      </c>
      <c r="J217" s="272"/>
      <c r="K217" s="264"/>
      <c r="L217" s="264"/>
      <c r="M217" s="275"/>
    </row>
    <row r="218" spans="2:13" ht="16.5" customHeight="1">
      <c r="B218" s="265" t="s">
        <v>1901</v>
      </c>
      <c r="C218" s="263" t="s">
        <v>619</v>
      </c>
      <c r="D218" s="263">
        <v>1</v>
      </c>
      <c r="E218" s="171">
        <v>44032</v>
      </c>
      <c r="F218" s="264">
        <v>4109310</v>
      </c>
      <c r="G218" s="268">
        <v>22415450</v>
      </c>
      <c r="H218" s="264"/>
      <c r="I218" s="264">
        <v>1</v>
      </c>
      <c r="J218" s="272"/>
      <c r="K218" s="264"/>
      <c r="L218" s="264"/>
      <c r="M218" s="275"/>
    </row>
    <row r="219" spans="2:13" ht="16.5" customHeight="1">
      <c r="B219" s="265" t="s">
        <v>1902</v>
      </c>
      <c r="C219" s="263" t="s">
        <v>620</v>
      </c>
      <c r="D219" s="263">
        <v>1</v>
      </c>
      <c r="E219" s="171">
        <v>44207</v>
      </c>
      <c r="F219" s="264">
        <v>6048793.333333333</v>
      </c>
      <c r="G219" s="268">
        <v>30094820</v>
      </c>
      <c r="H219" s="264"/>
      <c r="I219" s="264">
        <v>1</v>
      </c>
      <c r="J219" s="272"/>
      <c r="K219" s="264"/>
      <c r="L219" s="264"/>
      <c r="M219" s="275"/>
    </row>
    <row r="220" spans="2:13" ht="16.5" customHeight="1">
      <c r="B220" s="265" t="s">
        <v>1903</v>
      </c>
      <c r="C220" s="263" t="s">
        <v>621</v>
      </c>
      <c r="D220" s="263">
        <v>1</v>
      </c>
      <c r="E220" s="171">
        <v>44235</v>
      </c>
      <c r="F220" s="264">
        <v>3960810</v>
      </c>
      <c r="G220" s="268">
        <v>19402550</v>
      </c>
      <c r="H220" s="264"/>
      <c r="I220" s="264">
        <v>1</v>
      </c>
      <c r="J220" s="272"/>
      <c r="K220" s="264"/>
      <c r="L220" s="264"/>
      <c r="M220" s="275"/>
    </row>
    <row r="221" spans="2:13" ht="16.5" customHeight="1">
      <c r="B221" s="265" t="s">
        <v>1904</v>
      </c>
      <c r="C221" s="263" t="s">
        <v>622</v>
      </c>
      <c r="D221" s="263">
        <v>2</v>
      </c>
      <c r="E221" s="171">
        <v>45096</v>
      </c>
      <c r="F221" s="264">
        <v>3815910</v>
      </c>
      <c r="G221" s="268">
        <v>9691370</v>
      </c>
      <c r="H221" s="264"/>
      <c r="I221" s="264">
        <v>1</v>
      </c>
      <c r="J221" s="272"/>
      <c r="K221" s="264"/>
      <c r="L221" s="264"/>
      <c r="M221" s="275"/>
    </row>
    <row r="222" spans="2:13" ht="16.5" customHeight="1">
      <c r="B222" s="265" t="s">
        <v>1905</v>
      </c>
      <c r="C222" s="263" t="s">
        <v>623</v>
      </c>
      <c r="D222" s="263">
        <v>1</v>
      </c>
      <c r="E222" s="171">
        <v>45110</v>
      </c>
      <c r="F222" s="264">
        <v>4791855</v>
      </c>
      <c r="G222" s="268">
        <v>11986210</v>
      </c>
      <c r="H222" s="264"/>
      <c r="I222" s="264">
        <v>1</v>
      </c>
      <c r="J222" s="272"/>
      <c r="K222" s="264"/>
      <c r="L222" s="264"/>
      <c r="M222" s="275"/>
    </row>
    <row r="223" spans="2:13" ht="16.5" customHeight="1">
      <c r="B223" s="265" t="s">
        <v>1906</v>
      </c>
      <c r="C223" s="263" t="s">
        <v>624</v>
      </c>
      <c r="D223" s="263">
        <v>1</v>
      </c>
      <c r="E223" s="171">
        <v>45159</v>
      </c>
      <c r="F223" s="264">
        <v>3250307.5</v>
      </c>
      <c r="G223" s="268">
        <v>7693880</v>
      </c>
      <c r="H223" s="264"/>
      <c r="I223" s="264">
        <v>1</v>
      </c>
      <c r="J223" s="272"/>
      <c r="K223" s="264"/>
      <c r="L223" s="264"/>
      <c r="M223" s="275"/>
    </row>
    <row r="224" spans="2:13" ht="16.5" customHeight="1">
      <c r="B224" s="265" t="s">
        <v>1907</v>
      </c>
      <c r="C224" s="263" t="s">
        <v>625</v>
      </c>
      <c r="D224" s="263">
        <v>1</v>
      </c>
      <c r="E224" s="171">
        <v>44347</v>
      </c>
      <c r="F224" s="264">
        <v>6819243.333333333</v>
      </c>
      <c r="G224" s="268">
        <v>31312480</v>
      </c>
      <c r="H224" s="264"/>
      <c r="I224" s="264">
        <v>1</v>
      </c>
      <c r="J224" s="272"/>
      <c r="K224" s="264"/>
      <c r="L224" s="264"/>
      <c r="M224" s="275"/>
    </row>
    <row r="225" spans="2:13" ht="16.5" customHeight="1">
      <c r="B225" s="265" t="s">
        <v>1908</v>
      </c>
      <c r="C225" s="263" t="s">
        <v>626</v>
      </c>
      <c r="D225" s="263">
        <v>1</v>
      </c>
      <c r="E225" s="171">
        <v>43374</v>
      </c>
      <c r="F225" s="264">
        <v>4336855</v>
      </c>
      <c r="G225" s="268">
        <v>31474880</v>
      </c>
      <c r="H225" s="264"/>
      <c r="I225" s="264">
        <v>1</v>
      </c>
      <c r="J225" s="272"/>
      <c r="K225" s="264"/>
      <c r="L225" s="264"/>
      <c r="M225" s="275"/>
    </row>
    <row r="226" spans="2:13" ht="16.5" customHeight="1">
      <c r="B226" s="265" t="s">
        <v>1909</v>
      </c>
      <c r="C226" s="263" t="s">
        <v>627</v>
      </c>
      <c r="D226" s="263">
        <v>1</v>
      </c>
      <c r="E226" s="171">
        <v>44340</v>
      </c>
      <c r="F226" s="264">
        <v>5310794.166666667</v>
      </c>
      <c r="G226" s="268">
        <v>24487860</v>
      </c>
      <c r="H226" s="264"/>
      <c r="I226" s="264">
        <v>1</v>
      </c>
      <c r="J226" s="272"/>
      <c r="K226" s="264"/>
      <c r="L226" s="264"/>
      <c r="M226" s="275"/>
    </row>
    <row r="227" spans="2:13" ht="16.5" customHeight="1">
      <c r="B227" s="265" t="s">
        <v>1910</v>
      </c>
      <c r="C227" s="263" t="s">
        <v>628</v>
      </c>
      <c r="D227" s="263">
        <v>1</v>
      </c>
      <c r="E227" s="171">
        <v>44753</v>
      </c>
      <c r="F227" s="264">
        <v>5509600</v>
      </c>
      <c r="G227" s="268">
        <v>19170390</v>
      </c>
      <c r="H227" s="264"/>
      <c r="I227" s="264">
        <v>1</v>
      </c>
      <c r="J227" s="272"/>
      <c r="K227" s="264"/>
      <c r="L227" s="264"/>
      <c r="M227" s="275"/>
    </row>
    <row r="228" spans="2:13" ht="16.5" customHeight="1">
      <c r="B228" s="265" t="s">
        <v>1911</v>
      </c>
      <c r="C228" s="263" t="s">
        <v>629</v>
      </c>
      <c r="D228" s="263">
        <v>1</v>
      </c>
      <c r="E228" s="171">
        <v>44931</v>
      </c>
      <c r="F228" s="264">
        <v>6355183.333333333</v>
      </c>
      <c r="G228" s="268">
        <v>19013320</v>
      </c>
      <c r="H228" s="264"/>
      <c r="I228" s="264">
        <v>1</v>
      </c>
      <c r="J228" s="272"/>
      <c r="K228" s="264"/>
      <c r="L228" s="264"/>
      <c r="M228" s="275"/>
    </row>
    <row r="229" spans="2:13" ht="16.5" customHeight="1">
      <c r="B229" s="265" t="s">
        <v>1912</v>
      </c>
      <c r="C229" s="263" t="s">
        <v>630</v>
      </c>
      <c r="D229" s="263">
        <v>1</v>
      </c>
      <c r="E229" s="171">
        <v>45117</v>
      </c>
      <c r="F229" s="264">
        <v>4706549.166666667</v>
      </c>
      <c r="G229" s="268">
        <v>11682560</v>
      </c>
      <c r="H229" s="264"/>
      <c r="I229" s="264">
        <v>1</v>
      </c>
      <c r="J229" s="272"/>
      <c r="K229" s="264"/>
      <c r="L229" s="264"/>
      <c r="M229" s="275"/>
    </row>
    <row r="230" spans="2:13" ht="16.5" customHeight="1">
      <c r="B230" s="265" t="s">
        <v>1913</v>
      </c>
      <c r="C230" s="263" t="s">
        <v>631</v>
      </c>
      <c r="D230" s="263">
        <v>1</v>
      </c>
      <c r="E230" s="171">
        <v>45231</v>
      </c>
      <c r="F230" s="264">
        <v>5158145.833333333</v>
      </c>
      <c r="G230" s="268">
        <v>11192470</v>
      </c>
      <c r="H230" s="264"/>
      <c r="I230" s="264">
        <v>1</v>
      </c>
      <c r="J230" s="272"/>
      <c r="K230" s="264"/>
      <c r="L230" s="264"/>
      <c r="M230" s="275"/>
    </row>
    <row r="231" spans="2:13" ht="16.5" customHeight="1">
      <c r="B231" s="265" t="s">
        <v>1914</v>
      </c>
      <c r="C231" s="263" t="s">
        <v>632</v>
      </c>
      <c r="D231" s="263">
        <v>1</v>
      </c>
      <c r="E231" s="171">
        <v>45516</v>
      </c>
      <c r="F231" s="264">
        <v>3154170</v>
      </c>
      <c r="G231" s="268">
        <v>4381280</v>
      </c>
      <c r="H231" s="264"/>
      <c r="I231" s="264">
        <v>1</v>
      </c>
      <c r="J231" s="272"/>
      <c r="K231" s="264"/>
      <c r="L231" s="264"/>
      <c r="M231" s="275"/>
    </row>
    <row r="232" spans="2:13" ht="16.5" customHeight="1">
      <c r="B232" s="265" t="s">
        <v>1915</v>
      </c>
      <c r="C232" s="263" t="s">
        <v>633</v>
      </c>
      <c r="D232" s="263">
        <v>1</v>
      </c>
      <c r="E232" s="171">
        <v>45523</v>
      </c>
      <c r="F232" s="264">
        <v>4337920</v>
      </c>
      <c r="G232" s="268">
        <v>5942360</v>
      </c>
      <c r="H232" s="264"/>
      <c r="I232" s="264">
        <v>1</v>
      </c>
      <c r="J232" s="272"/>
      <c r="K232" s="264"/>
      <c r="L232" s="264"/>
      <c r="M232" s="275"/>
    </row>
    <row r="233" spans="2:13" ht="16.5" customHeight="1">
      <c r="B233" s="265" t="s">
        <v>1916</v>
      </c>
      <c r="C233" s="263" t="s">
        <v>634</v>
      </c>
      <c r="D233" s="263">
        <v>1</v>
      </c>
      <c r="E233" s="171">
        <v>41214</v>
      </c>
      <c r="F233" s="264">
        <v>5362617.5</v>
      </c>
      <c r="G233" s="268">
        <v>70654330</v>
      </c>
      <c r="H233" s="264"/>
      <c r="I233" s="264">
        <v>1</v>
      </c>
      <c r="J233" s="272"/>
      <c r="K233" s="264"/>
      <c r="L233" s="264"/>
      <c r="M233" s="275"/>
    </row>
    <row r="234" spans="2:13" ht="16.5" customHeight="1">
      <c r="B234" s="265" t="s">
        <v>1917</v>
      </c>
      <c r="C234" s="263" t="s">
        <v>635</v>
      </c>
      <c r="D234" s="263">
        <v>1</v>
      </c>
      <c r="E234" s="171">
        <v>42058</v>
      </c>
      <c r="F234" s="264">
        <v>5565282.5</v>
      </c>
      <c r="G234" s="268">
        <v>60455750</v>
      </c>
      <c r="H234" s="264"/>
      <c r="I234" s="264">
        <v>1</v>
      </c>
      <c r="J234" s="272"/>
      <c r="K234" s="264"/>
      <c r="L234" s="264"/>
      <c r="M234" s="275"/>
    </row>
    <row r="235" spans="2:13" ht="16.5" customHeight="1">
      <c r="B235" s="265" t="s">
        <v>1918</v>
      </c>
      <c r="C235" s="263" t="s">
        <v>636</v>
      </c>
      <c r="D235" s="263">
        <v>1</v>
      </c>
      <c r="E235" s="171">
        <v>43528</v>
      </c>
      <c r="F235" s="264">
        <v>4349259.166666667</v>
      </c>
      <c r="G235" s="268">
        <v>29729870</v>
      </c>
      <c r="H235" s="264"/>
      <c r="I235" s="264">
        <v>1</v>
      </c>
      <c r="J235" s="272"/>
      <c r="K235" s="264"/>
      <c r="L235" s="264"/>
      <c r="M235" s="275"/>
    </row>
    <row r="236" spans="2:13" ht="16.5" customHeight="1">
      <c r="B236" s="265" t="s">
        <v>1919</v>
      </c>
      <c r="C236" s="263" t="s">
        <v>637</v>
      </c>
      <c r="D236" s="263">
        <v>1</v>
      </c>
      <c r="E236" s="171">
        <v>44620</v>
      </c>
      <c r="F236" s="264">
        <v>6029753.333333333</v>
      </c>
      <c r="G236" s="268">
        <v>23177390</v>
      </c>
      <c r="H236" s="264"/>
      <c r="I236" s="264">
        <v>1</v>
      </c>
      <c r="J236" s="272"/>
      <c r="K236" s="264"/>
      <c r="L236" s="264"/>
      <c r="M236" s="275"/>
    </row>
    <row r="237" spans="2:13" ht="16.5" customHeight="1">
      <c r="B237" s="265" t="s">
        <v>1920</v>
      </c>
      <c r="C237" s="263" t="s">
        <v>638</v>
      </c>
      <c r="D237" s="263">
        <v>1</v>
      </c>
      <c r="E237" s="171">
        <v>44872</v>
      </c>
      <c r="F237" s="264">
        <v>3817130</v>
      </c>
      <c r="G237" s="268">
        <v>12037040</v>
      </c>
      <c r="H237" s="264"/>
      <c r="I237" s="264">
        <v>1</v>
      </c>
      <c r="J237" s="272"/>
      <c r="K237" s="264"/>
      <c r="L237" s="264"/>
      <c r="M237" s="275"/>
    </row>
    <row r="238" spans="2:13" ht="16.5" customHeight="1">
      <c r="B238" s="265" t="s">
        <v>1921</v>
      </c>
      <c r="C238" s="263" t="s">
        <v>639</v>
      </c>
      <c r="D238" s="263">
        <v>1</v>
      </c>
      <c r="E238" s="171">
        <v>44914</v>
      </c>
      <c r="F238" s="264">
        <v>5653255</v>
      </c>
      <c r="G238" s="268">
        <v>17176610</v>
      </c>
      <c r="H238" s="264"/>
      <c r="I238" s="264">
        <v>1</v>
      </c>
      <c r="J238" s="272"/>
      <c r="K238" s="264"/>
      <c r="L238" s="264"/>
      <c r="M238" s="275"/>
    </row>
    <row r="239" spans="2:13" ht="16.5" customHeight="1">
      <c r="B239" s="265" t="s">
        <v>1922</v>
      </c>
      <c r="C239" s="263" t="s">
        <v>640</v>
      </c>
      <c r="D239" s="263">
        <v>1</v>
      </c>
      <c r="E239" s="171">
        <v>45089</v>
      </c>
      <c r="F239" s="264">
        <v>4958720</v>
      </c>
      <c r="G239" s="268">
        <v>12688890</v>
      </c>
      <c r="H239" s="264"/>
      <c r="I239" s="264">
        <v>1</v>
      </c>
      <c r="J239" s="272"/>
      <c r="K239" s="264"/>
      <c r="L239" s="264"/>
      <c r="M239" s="275"/>
    </row>
    <row r="240" spans="2:13" ht="16.5" customHeight="1">
      <c r="B240" s="265" t="s">
        <v>1923</v>
      </c>
      <c r="C240" s="263" t="s">
        <v>641</v>
      </c>
      <c r="D240" s="263">
        <v>2</v>
      </c>
      <c r="E240" s="171">
        <v>45089</v>
      </c>
      <c r="F240" s="264">
        <v>3153320</v>
      </c>
      <c r="G240" s="268">
        <v>8069050</v>
      </c>
      <c r="H240" s="264"/>
      <c r="I240" s="264">
        <v>1</v>
      </c>
      <c r="J240" s="272"/>
      <c r="K240" s="264"/>
      <c r="L240" s="264"/>
      <c r="M240" s="275"/>
    </row>
    <row r="241" spans="2:13" ht="16.5" customHeight="1">
      <c r="B241" s="265" t="s">
        <v>1924</v>
      </c>
      <c r="C241" s="263" t="s">
        <v>642</v>
      </c>
      <c r="D241" s="263">
        <v>1</v>
      </c>
      <c r="E241" s="171">
        <v>45117</v>
      </c>
      <c r="F241" s="264">
        <v>5525640</v>
      </c>
      <c r="G241" s="268">
        <v>2316230</v>
      </c>
      <c r="H241" s="264"/>
      <c r="I241" s="264">
        <v>1</v>
      </c>
      <c r="J241" s="272">
        <v>45869</v>
      </c>
      <c r="K241" s="264">
        <v>11666860</v>
      </c>
      <c r="L241" s="264"/>
      <c r="M241" s="275"/>
    </row>
    <row r="242" spans="2:13" ht="16.5" customHeight="1">
      <c r="B242" s="265" t="s">
        <v>1925</v>
      </c>
      <c r="C242" s="263" t="s">
        <v>643</v>
      </c>
      <c r="D242" s="263">
        <v>1</v>
      </c>
      <c r="E242" s="171">
        <v>45159</v>
      </c>
      <c r="F242" s="264">
        <v>3259315</v>
      </c>
      <c r="G242" s="268">
        <v>7715210</v>
      </c>
      <c r="H242" s="264"/>
      <c r="I242" s="264">
        <v>1</v>
      </c>
      <c r="J242" s="272"/>
      <c r="K242" s="264"/>
      <c r="L242" s="264"/>
      <c r="M242" s="275"/>
    </row>
    <row r="243" spans="2:13" ht="16.5" customHeight="1">
      <c r="B243" s="265" t="s">
        <v>1926</v>
      </c>
      <c r="C243" s="263" t="s">
        <v>644</v>
      </c>
      <c r="D243" s="263">
        <v>1</v>
      </c>
      <c r="E243" s="171">
        <v>45159</v>
      </c>
      <c r="F243" s="264">
        <v>3259315</v>
      </c>
      <c r="G243" s="268">
        <v>7715210</v>
      </c>
      <c r="H243" s="264"/>
      <c r="I243" s="264">
        <v>1</v>
      </c>
      <c r="J243" s="272"/>
      <c r="K243" s="264"/>
      <c r="L243" s="264"/>
      <c r="M243" s="275"/>
    </row>
    <row r="244" spans="2:13" ht="16.5" customHeight="1">
      <c r="B244" s="265" t="s">
        <v>1927</v>
      </c>
      <c r="C244" s="263" t="s">
        <v>645</v>
      </c>
      <c r="D244" s="263">
        <v>1</v>
      </c>
      <c r="E244" s="171">
        <v>45166</v>
      </c>
      <c r="F244" s="264">
        <v>4541807.5</v>
      </c>
      <c r="G244" s="268">
        <v>10663920</v>
      </c>
      <c r="H244" s="264"/>
      <c r="I244" s="264">
        <v>1</v>
      </c>
      <c r="J244" s="272"/>
      <c r="K244" s="264"/>
      <c r="L244" s="264"/>
      <c r="M244" s="275"/>
    </row>
    <row r="245" spans="2:13" ht="16.5" customHeight="1">
      <c r="B245" s="265" t="s">
        <v>1928</v>
      </c>
      <c r="C245" s="263" t="s">
        <v>646</v>
      </c>
      <c r="D245" s="263">
        <v>1</v>
      </c>
      <c r="E245" s="171">
        <v>45166</v>
      </c>
      <c r="F245" s="264">
        <v>4467000</v>
      </c>
      <c r="G245" s="268">
        <v>10488280</v>
      </c>
      <c r="H245" s="264"/>
      <c r="I245" s="264">
        <v>1</v>
      </c>
      <c r="J245" s="272"/>
      <c r="K245" s="264"/>
      <c r="L245" s="264"/>
      <c r="M245" s="275"/>
    </row>
    <row r="246" spans="2:13" ht="16.5" customHeight="1">
      <c r="B246" s="265" t="s">
        <v>1929</v>
      </c>
      <c r="C246" s="263" t="s">
        <v>647</v>
      </c>
      <c r="D246" s="263">
        <v>1</v>
      </c>
      <c r="E246" s="171">
        <v>45187</v>
      </c>
      <c r="F246" s="264">
        <v>5698280</v>
      </c>
      <c r="G246" s="268">
        <v>13051410</v>
      </c>
      <c r="H246" s="264"/>
      <c r="I246" s="264">
        <v>1</v>
      </c>
      <c r="J246" s="272"/>
      <c r="K246" s="264"/>
      <c r="L246" s="264"/>
      <c r="M246" s="275"/>
    </row>
    <row r="247" spans="2:13" ht="16.5" customHeight="1">
      <c r="B247" s="265" t="s">
        <v>1930</v>
      </c>
      <c r="C247" s="263" t="s">
        <v>648</v>
      </c>
      <c r="D247" s="263">
        <v>1</v>
      </c>
      <c r="E247" s="171">
        <v>45187</v>
      </c>
      <c r="F247" s="264">
        <v>6270216.666666667</v>
      </c>
      <c r="G247" s="268">
        <v>14361380</v>
      </c>
      <c r="H247" s="264"/>
      <c r="I247" s="264">
        <v>1</v>
      </c>
      <c r="J247" s="272"/>
      <c r="K247" s="264"/>
      <c r="L247" s="264"/>
      <c r="M247" s="275"/>
    </row>
    <row r="248" spans="2:13" ht="16.5" customHeight="1">
      <c r="B248" s="265" t="s">
        <v>1931</v>
      </c>
      <c r="C248" s="263" t="s">
        <v>649</v>
      </c>
      <c r="D248" s="263">
        <v>1</v>
      </c>
      <c r="E248" s="171">
        <v>45209</v>
      </c>
      <c r="F248" s="264">
        <v>6246213.333333333</v>
      </c>
      <c r="G248" s="268">
        <v>13929920</v>
      </c>
      <c r="H248" s="264"/>
      <c r="I248" s="264">
        <v>1</v>
      </c>
      <c r="J248" s="272"/>
      <c r="K248" s="264"/>
      <c r="L248" s="264"/>
      <c r="M248" s="275"/>
    </row>
    <row r="249" spans="2:13" ht="16.5" customHeight="1">
      <c r="B249" s="265" t="s">
        <v>1932</v>
      </c>
      <c r="C249" s="263" t="s">
        <v>650</v>
      </c>
      <c r="D249" s="263">
        <v>1</v>
      </c>
      <c r="E249" s="171">
        <v>45439</v>
      </c>
      <c r="F249" s="264">
        <v>4157090</v>
      </c>
      <c r="G249" s="268">
        <v>6651350</v>
      </c>
      <c r="H249" s="264"/>
      <c r="I249" s="264">
        <v>1</v>
      </c>
      <c r="J249" s="272"/>
      <c r="K249" s="264"/>
      <c r="L249" s="264"/>
      <c r="M249" s="275"/>
    </row>
    <row r="250" spans="2:13" ht="16.5" customHeight="1">
      <c r="B250" s="265" t="s">
        <v>1933</v>
      </c>
      <c r="C250" s="263" t="s">
        <v>651</v>
      </c>
      <c r="D250" s="263">
        <v>1</v>
      </c>
      <c r="E250" s="171">
        <v>45439</v>
      </c>
      <c r="F250" s="264">
        <v>3111670</v>
      </c>
      <c r="G250" s="268">
        <v>4978680</v>
      </c>
      <c r="H250" s="264"/>
      <c r="I250" s="264">
        <v>1</v>
      </c>
      <c r="J250" s="272"/>
      <c r="K250" s="264"/>
      <c r="L250" s="264"/>
      <c r="M250" s="275"/>
    </row>
    <row r="251" spans="2:13" ht="16.5" customHeight="1">
      <c r="B251" s="265" t="s">
        <v>1934</v>
      </c>
      <c r="C251" s="263" t="s">
        <v>652</v>
      </c>
      <c r="D251" s="263">
        <v>2</v>
      </c>
      <c r="E251" s="171">
        <v>45565</v>
      </c>
      <c r="F251" s="264">
        <v>3666670</v>
      </c>
      <c r="G251" s="268">
        <v>4600920</v>
      </c>
      <c r="H251" s="264"/>
      <c r="I251" s="264">
        <v>1</v>
      </c>
      <c r="J251" s="272"/>
      <c r="K251" s="264"/>
      <c r="L251" s="264"/>
      <c r="M251" s="275"/>
    </row>
    <row r="252" spans="2:13" ht="16.5" customHeight="1">
      <c r="B252" s="265" t="s">
        <v>1935</v>
      </c>
      <c r="C252" s="263" t="s">
        <v>653</v>
      </c>
      <c r="D252" s="263">
        <v>1</v>
      </c>
      <c r="E252" s="171">
        <v>45572</v>
      </c>
      <c r="F252" s="264">
        <v>4283340</v>
      </c>
      <c r="G252" s="268">
        <v>5292570</v>
      </c>
      <c r="H252" s="264"/>
      <c r="I252" s="264">
        <v>1</v>
      </c>
      <c r="J252" s="272"/>
      <c r="K252" s="264"/>
      <c r="L252" s="264"/>
      <c r="M252" s="275"/>
    </row>
    <row r="253" spans="2:13" ht="16.5" customHeight="1">
      <c r="B253" s="265" t="s">
        <v>1936</v>
      </c>
      <c r="C253" s="263" t="s">
        <v>654</v>
      </c>
      <c r="D253" s="263">
        <v>1</v>
      </c>
      <c r="E253" s="171">
        <v>41214</v>
      </c>
      <c r="F253" s="264">
        <v>5922660</v>
      </c>
      <c r="G253" s="268">
        <v>78033080</v>
      </c>
      <c r="H253" s="264"/>
      <c r="I253" s="264">
        <v>1</v>
      </c>
      <c r="J253" s="272"/>
      <c r="K253" s="264"/>
      <c r="L253" s="264"/>
      <c r="M253" s="275"/>
    </row>
    <row r="254" spans="2:13" ht="16.5" customHeight="1">
      <c r="B254" s="265" t="s">
        <v>1937</v>
      </c>
      <c r="C254" s="263" t="s">
        <v>655</v>
      </c>
      <c r="D254" s="263">
        <v>2</v>
      </c>
      <c r="E254" s="171">
        <v>44067</v>
      </c>
      <c r="F254" s="264">
        <v>4476610</v>
      </c>
      <c r="G254" s="268">
        <v>23989730</v>
      </c>
      <c r="H254" s="264"/>
      <c r="I254" s="264">
        <v>1</v>
      </c>
      <c r="J254" s="272"/>
      <c r="K254" s="264"/>
      <c r="L254" s="264"/>
      <c r="M254" s="275"/>
    </row>
    <row r="255" spans="2:13" ht="16.5" customHeight="1">
      <c r="B255" s="265" t="s">
        <v>1938</v>
      </c>
      <c r="C255" s="263" t="s">
        <v>656</v>
      </c>
      <c r="D255" s="263">
        <v>1</v>
      </c>
      <c r="E255" s="171">
        <v>45078</v>
      </c>
      <c r="F255" s="264">
        <v>3359170</v>
      </c>
      <c r="G255" s="268">
        <v>8697030</v>
      </c>
      <c r="H255" s="264"/>
      <c r="I255" s="264">
        <v>1</v>
      </c>
      <c r="J255" s="272"/>
      <c r="K255" s="264"/>
      <c r="L255" s="264"/>
      <c r="M255" s="275"/>
    </row>
    <row r="256" spans="2:13" ht="16.5" customHeight="1">
      <c r="B256" s="265" t="s">
        <v>1939</v>
      </c>
      <c r="C256" s="263" t="s">
        <v>657</v>
      </c>
      <c r="D256" s="263">
        <v>1</v>
      </c>
      <c r="E256" s="171">
        <v>45600</v>
      </c>
      <c r="F256" s="264">
        <v>3583340</v>
      </c>
      <c r="G256" s="268">
        <v>4152750</v>
      </c>
      <c r="H256" s="264"/>
      <c r="I256" s="264">
        <v>1</v>
      </c>
      <c r="J256" s="272"/>
      <c r="K256" s="264"/>
      <c r="L256" s="264"/>
      <c r="M256" s="275"/>
    </row>
    <row r="257" spans="2:13" ht="16.5" customHeight="1">
      <c r="B257" s="265" t="s">
        <v>1940</v>
      </c>
      <c r="C257" s="263" t="s">
        <v>658</v>
      </c>
      <c r="D257" s="263">
        <v>1</v>
      </c>
      <c r="E257" s="171">
        <v>44599</v>
      </c>
      <c r="F257" s="264">
        <v>6605912.5</v>
      </c>
      <c r="G257" s="268">
        <v>25772110</v>
      </c>
      <c r="H257" s="264"/>
      <c r="I257" s="264">
        <v>1</v>
      </c>
      <c r="J257" s="272"/>
      <c r="K257" s="264"/>
      <c r="L257" s="264"/>
      <c r="M257" s="275"/>
    </row>
    <row r="258" spans="2:13" ht="16.5" customHeight="1">
      <c r="B258" s="265" t="s">
        <v>1941</v>
      </c>
      <c r="C258" s="263" t="s">
        <v>659</v>
      </c>
      <c r="D258" s="263">
        <v>2</v>
      </c>
      <c r="E258" s="171">
        <v>41036</v>
      </c>
      <c r="F258" s="264">
        <v>4246510</v>
      </c>
      <c r="G258" s="268">
        <v>58020130</v>
      </c>
      <c r="H258" s="264"/>
      <c r="I258" s="264">
        <v>1</v>
      </c>
      <c r="J258" s="272"/>
      <c r="K258" s="264"/>
      <c r="L258" s="264"/>
      <c r="M258" s="275"/>
    </row>
    <row r="259" spans="2:13" ht="16.5" customHeight="1">
      <c r="B259" s="265" t="s">
        <v>1942</v>
      </c>
      <c r="C259" s="263" t="s">
        <v>660</v>
      </c>
      <c r="D259" s="263">
        <v>1</v>
      </c>
      <c r="E259" s="171">
        <v>42170</v>
      </c>
      <c r="F259" s="264">
        <v>4470800</v>
      </c>
      <c r="G259" s="268">
        <v>4997500</v>
      </c>
      <c r="H259" s="264"/>
      <c r="I259" s="264">
        <v>1</v>
      </c>
      <c r="J259" s="272">
        <v>45614</v>
      </c>
      <c r="K259" s="264"/>
      <c r="L259" s="264"/>
      <c r="M259" s="275"/>
    </row>
    <row r="260" spans="2:13" ht="16.5" customHeight="1">
      <c r="B260" s="265" t="s">
        <v>1943</v>
      </c>
      <c r="C260" s="263" t="s">
        <v>661</v>
      </c>
      <c r="D260" s="263">
        <v>1</v>
      </c>
      <c r="E260" s="171">
        <v>42228</v>
      </c>
      <c r="F260" s="264">
        <v>3701310</v>
      </c>
      <c r="G260" s="268">
        <v>10799720</v>
      </c>
      <c r="H260" s="264"/>
      <c r="I260" s="264">
        <v>1</v>
      </c>
      <c r="J260" s="272">
        <v>44957</v>
      </c>
      <c r="K260" s="264"/>
      <c r="L260" s="264"/>
      <c r="M260" s="275"/>
    </row>
    <row r="261" spans="2:13" ht="16.5" customHeight="1">
      <c r="B261" s="265" t="s">
        <v>1944</v>
      </c>
      <c r="C261" s="263" t="s">
        <v>662</v>
      </c>
      <c r="D261" s="263">
        <v>1</v>
      </c>
      <c r="E261" s="171">
        <v>42681</v>
      </c>
      <c r="F261" s="264">
        <v>6509080</v>
      </c>
      <c r="G261" s="268">
        <v>34738880</v>
      </c>
      <c r="H261" s="264"/>
      <c r="I261" s="264">
        <v>1</v>
      </c>
      <c r="J261" s="272">
        <v>44074</v>
      </c>
      <c r="K261" s="264"/>
      <c r="L261" s="264"/>
      <c r="M261" s="275"/>
    </row>
    <row r="262" spans="2:13" ht="16.5" customHeight="1">
      <c r="B262" s="265" t="s">
        <v>1945</v>
      </c>
      <c r="C262" s="263" t="s">
        <v>663</v>
      </c>
      <c r="D262" s="263">
        <v>2</v>
      </c>
      <c r="E262" s="171">
        <v>44166</v>
      </c>
      <c r="F262" s="264">
        <v>3534350</v>
      </c>
      <c r="G262" s="268">
        <v>17981620</v>
      </c>
      <c r="H262" s="264"/>
      <c r="I262" s="264">
        <v>1</v>
      </c>
      <c r="J262" s="272"/>
      <c r="K262" s="264"/>
      <c r="L262" s="264"/>
      <c r="M262" s="275"/>
    </row>
    <row r="263" spans="2:13" ht="16.5" customHeight="1">
      <c r="B263" s="265" t="s">
        <v>1946</v>
      </c>
      <c r="C263" s="263" t="s">
        <v>664</v>
      </c>
      <c r="D263" s="263">
        <v>1</v>
      </c>
      <c r="E263" s="171">
        <v>41666</v>
      </c>
      <c r="F263" s="264">
        <v>4340324.166666666</v>
      </c>
      <c r="G263" s="268">
        <v>51810400</v>
      </c>
      <c r="H263" s="264"/>
      <c r="I263" s="264">
        <v>1</v>
      </c>
      <c r="J263" s="272"/>
      <c r="K263" s="264"/>
      <c r="L263" s="264"/>
      <c r="M263" s="275"/>
    </row>
    <row r="264" spans="2:13" ht="16.5" customHeight="1">
      <c r="B264" s="265" t="s">
        <v>1947</v>
      </c>
      <c r="C264" s="263" t="s">
        <v>665</v>
      </c>
      <c r="D264" s="263">
        <v>1</v>
      </c>
      <c r="E264" s="171">
        <v>37755</v>
      </c>
      <c r="F264" s="264">
        <v>7771420</v>
      </c>
      <c r="G264" s="268">
        <v>62213950</v>
      </c>
      <c r="H264" s="264"/>
      <c r="I264" s="264">
        <v>1</v>
      </c>
      <c r="J264" s="272">
        <v>43100</v>
      </c>
      <c r="K264" s="264"/>
      <c r="L264" s="264"/>
      <c r="M264" s="275"/>
    </row>
    <row r="265" spans="2:13" ht="16.5" customHeight="1">
      <c r="B265" s="265" t="s">
        <v>1948</v>
      </c>
      <c r="C265" s="263" t="s">
        <v>666</v>
      </c>
      <c r="D265" s="263">
        <v>1</v>
      </c>
      <c r="E265" s="171">
        <v>44676</v>
      </c>
      <c r="F265" s="264">
        <v>6040000</v>
      </c>
      <c r="G265" s="268">
        <v>22290090</v>
      </c>
      <c r="H265" s="264"/>
      <c r="I265" s="264">
        <v>1</v>
      </c>
      <c r="J265" s="272"/>
      <c r="K265" s="264"/>
      <c r="L265" s="264"/>
      <c r="M265" s="275"/>
    </row>
    <row r="266" spans="2:13" ht="16.5" customHeight="1">
      <c r="B266" s="265" t="s">
        <v>1949</v>
      </c>
      <c r="C266" s="263" t="s">
        <v>667</v>
      </c>
      <c r="D266" s="263">
        <v>2</v>
      </c>
      <c r="E266" s="171">
        <v>43969</v>
      </c>
      <c r="F266" s="264">
        <v>3546710</v>
      </c>
      <c r="G266" s="268">
        <v>19958750</v>
      </c>
      <c r="H266" s="264"/>
      <c r="I266" s="264">
        <v>1</v>
      </c>
      <c r="J266" s="272"/>
      <c r="K266" s="264"/>
      <c r="L266" s="264"/>
      <c r="M266" s="275"/>
    </row>
    <row r="267" spans="2:13" ht="16.5" customHeight="1">
      <c r="B267" s="265" t="s">
        <v>1950</v>
      </c>
      <c r="C267" s="263" t="s">
        <v>668</v>
      </c>
      <c r="D267" s="263">
        <v>1</v>
      </c>
      <c r="E267" s="171">
        <v>44669</v>
      </c>
      <c r="F267" s="264">
        <v>4650170</v>
      </c>
      <c r="G267" s="268">
        <v>17250220</v>
      </c>
      <c r="H267" s="264"/>
      <c r="I267" s="264">
        <v>1</v>
      </c>
      <c r="J267" s="272"/>
      <c r="K267" s="264"/>
      <c r="L267" s="264"/>
      <c r="M267" s="275"/>
    </row>
    <row r="268" spans="2:13" ht="16.5" customHeight="1">
      <c r="B268" s="265" t="s">
        <v>1951</v>
      </c>
      <c r="C268" s="263" t="s">
        <v>669</v>
      </c>
      <c r="D268" s="263">
        <v>1</v>
      </c>
      <c r="E268" s="171">
        <v>44818</v>
      </c>
      <c r="F268" s="264">
        <v>6721610</v>
      </c>
      <c r="G268" s="268">
        <v>22190530</v>
      </c>
      <c r="H268" s="264"/>
      <c r="I268" s="264">
        <v>1</v>
      </c>
      <c r="J268" s="272"/>
      <c r="K268" s="264"/>
      <c r="L268" s="264"/>
      <c r="M268" s="275"/>
    </row>
    <row r="269" spans="2:13" ht="16.5" customHeight="1">
      <c r="B269" s="265" t="s">
        <v>1952</v>
      </c>
      <c r="C269" s="263" t="s">
        <v>670</v>
      </c>
      <c r="D269" s="263">
        <v>2</v>
      </c>
      <c r="E269" s="171">
        <v>45154</v>
      </c>
      <c r="F269" s="264">
        <v>4266990</v>
      </c>
      <c r="G269" s="268">
        <v>10158950</v>
      </c>
      <c r="H269" s="264"/>
      <c r="I269" s="264">
        <v>1</v>
      </c>
      <c r="J269" s="272"/>
      <c r="K269" s="264"/>
      <c r="L269" s="264"/>
      <c r="M269" s="275"/>
    </row>
    <row r="270" spans="2:13" ht="16.5" customHeight="1">
      <c r="B270" s="265" t="s">
        <v>1953</v>
      </c>
      <c r="C270" s="263" t="s">
        <v>671</v>
      </c>
      <c r="D270" s="263">
        <v>1</v>
      </c>
      <c r="E270" s="171">
        <v>45236</v>
      </c>
      <c r="F270" s="264">
        <v>3587500</v>
      </c>
      <c r="G270" s="268">
        <v>7735240</v>
      </c>
      <c r="H270" s="264"/>
      <c r="I270" s="264">
        <v>1</v>
      </c>
      <c r="J270" s="272"/>
      <c r="K270" s="264"/>
      <c r="L270" s="264"/>
      <c r="M270" s="275"/>
    </row>
    <row r="271" spans="2:13" ht="16.5" customHeight="1">
      <c r="B271" s="265" t="s">
        <v>1954</v>
      </c>
      <c r="C271" s="263" t="s">
        <v>672</v>
      </c>
      <c r="D271" s="263">
        <v>1</v>
      </c>
      <c r="E271" s="171">
        <v>36573</v>
      </c>
      <c r="F271" s="264">
        <v>8123050.833333334</v>
      </c>
      <c r="G271" s="268">
        <v>110428990</v>
      </c>
      <c r="H271" s="264"/>
      <c r="I271" s="264">
        <v>1</v>
      </c>
      <c r="J271" s="272">
        <v>41060</v>
      </c>
      <c r="K271" s="264"/>
      <c r="L271" s="264"/>
      <c r="M271" s="275"/>
    </row>
    <row r="272" spans="2:13" ht="16.5" customHeight="1">
      <c r="B272" s="265" t="s">
        <v>1955</v>
      </c>
      <c r="C272" s="263" t="s">
        <v>673</v>
      </c>
      <c r="D272" s="263">
        <v>1</v>
      </c>
      <c r="E272" s="171">
        <v>36434</v>
      </c>
      <c r="F272" s="264">
        <v>7677170.833333334</v>
      </c>
      <c r="G272" s="268">
        <v>104367460</v>
      </c>
      <c r="H272" s="264"/>
      <c r="I272" s="264">
        <v>1</v>
      </c>
      <c r="J272" s="272">
        <v>41060</v>
      </c>
      <c r="K272" s="264"/>
      <c r="L272" s="264"/>
      <c r="M272" s="275"/>
    </row>
    <row r="273" spans="2:13" ht="16.5" customHeight="1">
      <c r="B273" s="265" t="s">
        <v>1956</v>
      </c>
      <c r="C273" s="263" t="s">
        <v>674</v>
      </c>
      <c r="D273" s="263">
        <v>1</v>
      </c>
      <c r="E273" s="171">
        <v>38418</v>
      </c>
      <c r="F273" s="264">
        <v>6735113.333333334</v>
      </c>
      <c r="G273" s="268">
        <v>53917820</v>
      </c>
      <c r="H273" s="264"/>
      <c r="I273" s="264">
        <v>1</v>
      </c>
      <c r="J273" s="272">
        <v>43100</v>
      </c>
      <c r="K273" s="264"/>
      <c r="L273" s="264"/>
      <c r="M273" s="275"/>
    </row>
    <row r="274" spans="2:13" ht="16.5" customHeight="1">
      <c r="B274" s="265" t="s">
        <v>1957</v>
      </c>
      <c r="C274" s="263" t="s">
        <v>675</v>
      </c>
      <c r="D274" s="263">
        <v>1</v>
      </c>
      <c r="E274" s="171">
        <v>37599</v>
      </c>
      <c r="F274" s="264">
        <v>7960020</v>
      </c>
      <c r="G274" s="268">
        <v>114188130</v>
      </c>
      <c r="H274" s="264"/>
      <c r="I274" s="264">
        <v>1</v>
      </c>
      <c r="J274" s="272">
        <v>40786</v>
      </c>
      <c r="K274" s="264"/>
      <c r="L274" s="264"/>
      <c r="M274" s="275"/>
    </row>
    <row r="275" spans="2:13" ht="16.5" customHeight="1">
      <c r="B275" s="265" t="s">
        <v>1958</v>
      </c>
      <c r="C275" s="263" t="s">
        <v>676</v>
      </c>
      <c r="D275" s="263">
        <v>1</v>
      </c>
      <c r="E275" s="171">
        <v>37599</v>
      </c>
      <c r="F275" s="264">
        <v>7735094.166666667</v>
      </c>
      <c r="G275" s="268">
        <v>105154900</v>
      </c>
      <c r="H275" s="264"/>
      <c r="I275" s="264">
        <v>1</v>
      </c>
      <c r="J275" s="272">
        <v>41060</v>
      </c>
      <c r="K275" s="264"/>
      <c r="L275" s="264"/>
      <c r="M275" s="275"/>
    </row>
    <row r="276" spans="2:13" ht="16.5" customHeight="1">
      <c r="B276" s="265" t="s">
        <v>1959</v>
      </c>
      <c r="C276" s="263" t="s">
        <v>677</v>
      </c>
      <c r="D276" s="263">
        <v>1</v>
      </c>
      <c r="E276" s="171">
        <v>37834</v>
      </c>
      <c r="F276" s="264">
        <v>7221320</v>
      </c>
      <c r="G276" s="268">
        <v>10861660</v>
      </c>
      <c r="H276" s="264"/>
      <c r="I276" s="264">
        <v>1</v>
      </c>
      <c r="J276" s="272">
        <v>45473</v>
      </c>
      <c r="K276" s="264"/>
      <c r="L276" s="264"/>
      <c r="M276" s="275"/>
    </row>
    <row r="277" spans="2:13" ht="16.5" customHeight="1">
      <c r="B277" s="265" t="s">
        <v>1960</v>
      </c>
      <c r="C277" s="263" t="s">
        <v>678</v>
      </c>
      <c r="D277" s="263">
        <v>1</v>
      </c>
      <c r="E277" s="171">
        <v>37834</v>
      </c>
      <c r="F277" s="264">
        <v>8065225</v>
      </c>
      <c r="G277" s="268">
        <v>109642870</v>
      </c>
      <c r="H277" s="264"/>
      <c r="I277" s="264">
        <v>1</v>
      </c>
      <c r="J277" s="272">
        <v>41060</v>
      </c>
      <c r="K277" s="264"/>
      <c r="L277" s="264"/>
      <c r="M277" s="275"/>
    </row>
    <row r="278" spans="2:13" ht="16.5" customHeight="1">
      <c r="B278" s="265" t="s">
        <v>1961</v>
      </c>
      <c r="C278" s="263" t="s">
        <v>679</v>
      </c>
      <c r="D278" s="263">
        <v>1</v>
      </c>
      <c r="E278" s="171">
        <v>39135</v>
      </c>
      <c r="F278" s="264">
        <v>6700080.833333333</v>
      </c>
      <c r="G278" s="268">
        <v>91084390</v>
      </c>
      <c r="H278" s="264"/>
      <c r="I278" s="264">
        <v>1</v>
      </c>
      <c r="J278" s="272">
        <v>41060</v>
      </c>
      <c r="K278" s="264"/>
      <c r="L278" s="264"/>
      <c r="M278" s="275"/>
    </row>
    <row r="279" spans="2:13" ht="16.5" customHeight="1">
      <c r="B279" s="265" t="s">
        <v>1962</v>
      </c>
      <c r="C279" s="263" t="s">
        <v>680</v>
      </c>
      <c r="D279" s="263">
        <v>1</v>
      </c>
      <c r="E279" s="171">
        <v>41942</v>
      </c>
      <c r="F279" s="264">
        <v>5417839.166666667</v>
      </c>
      <c r="G279" s="268">
        <v>22591650</v>
      </c>
      <c r="H279" s="264"/>
      <c r="I279" s="264">
        <v>1</v>
      </c>
      <c r="J279" s="272">
        <v>44500</v>
      </c>
      <c r="K279" s="264"/>
      <c r="L279" s="264"/>
      <c r="M279" s="275"/>
    </row>
    <row r="280" spans="2:13" ht="16.5" customHeight="1">
      <c r="B280" s="265" t="s">
        <v>1963</v>
      </c>
      <c r="C280" s="263" t="s">
        <v>681</v>
      </c>
      <c r="D280" s="263">
        <v>1</v>
      </c>
      <c r="E280" s="171">
        <v>44263</v>
      </c>
      <c r="F280" s="264">
        <v>5156423.333333333</v>
      </c>
      <c r="G280" s="268">
        <v>24863850</v>
      </c>
      <c r="H280" s="264"/>
      <c r="I280" s="264">
        <v>1</v>
      </c>
      <c r="J280" s="272"/>
      <c r="K280" s="264"/>
      <c r="L280" s="264"/>
      <c r="M280" s="275"/>
    </row>
    <row r="281" spans="2:13" ht="16.5" customHeight="1">
      <c r="B281" s="265" t="s">
        <v>1964</v>
      </c>
      <c r="C281" s="263" t="s">
        <v>682</v>
      </c>
      <c r="D281" s="263">
        <v>1</v>
      </c>
      <c r="E281" s="171">
        <v>37834</v>
      </c>
      <c r="F281" s="264">
        <v>7677654.166666666</v>
      </c>
      <c r="G281" s="268">
        <v>11548040</v>
      </c>
      <c r="H281" s="264"/>
      <c r="I281" s="264">
        <v>1</v>
      </c>
      <c r="J281" s="272">
        <v>45473</v>
      </c>
      <c r="K281" s="264"/>
      <c r="L281" s="264"/>
      <c r="M281" s="275"/>
    </row>
    <row r="282" spans="2:13" ht="16.5" customHeight="1">
      <c r="B282" s="265" t="s">
        <v>1965</v>
      </c>
      <c r="C282" s="263" t="s">
        <v>683</v>
      </c>
      <c r="D282" s="263">
        <v>2</v>
      </c>
      <c r="E282" s="171">
        <v>37692</v>
      </c>
      <c r="F282" s="264">
        <v>6176932.5</v>
      </c>
      <c r="G282" s="268">
        <v>83972440</v>
      </c>
      <c r="H282" s="264"/>
      <c r="I282" s="264">
        <v>1</v>
      </c>
      <c r="J282" s="272">
        <v>41060</v>
      </c>
      <c r="K282" s="264"/>
      <c r="L282" s="264"/>
      <c r="M282" s="275"/>
    </row>
    <row r="283" spans="2:13" ht="16.5" customHeight="1">
      <c r="B283" s="265" t="s">
        <v>1966</v>
      </c>
      <c r="C283" s="263" t="s">
        <v>684</v>
      </c>
      <c r="D283" s="263">
        <v>1</v>
      </c>
      <c r="E283" s="171">
        <v>37834</v>
      </c>
      <c r="F283" s="264">
        <v>7388546.666666666</v>
      </c>
      <c r="G283" s="268">
        <v>11113190</v>
      </c>
      <c r="H283" s="264"/>
      <c r="I283" s="264">
        <v>1</v>
      </c>
      <c r="J283" s="272">
        <v>45473</v>
      </c>
      <c r="K283" s="264"/>
      <c r="L283" s="264"/>
      <c r="M283" s="275"/>
    </row>
    <row r="284" spans="2:13" ht="16.5" customHeight="1">
      <c r="B284" s="265" t="s">
        <v>1967</v>
      </c>
      <c r="C284" s="263" t="s">
        <v>685</v>
      </c>
      <c r="D284" s="263">
        <v>1</v>
      </c>
      <c r="E284" s="171">
        <v>38083</v>
      </c>
      <c r="F284" s="264">
        <v>6600385</v>
      </c>
      <c r="G284" s="268">
        <v>89729070</v>
      </c>
      <c r="H284" s="264"/>
      <c r="I284" s="264">
        <v>1</v>
      </c>
      <c r="J284" s="272">
        <v>41060</v>
      </c>
      <c r="K284" s="264"/>
      <c r="L284" s="264"/>
      <c r="M284" s="275"/>
    </row>
    <row r="285" spans="2:13" ht="16.5" customHeight="1">
      <c r="B285" s="265" t="s">
        <v>1968</v>
      </c>
      <c r="C285" s="263" t="s">
        <v>686</v>
      </c>
      <c r="D285" s="263">
        <v>1</v>
      </c>
      <c r="E285" s="171">
        <v>41652</v>
      </c>
      <c r="F285" s="264">
        <v>6683638.333333334</v>
      </c>
      <c r="G285" s="268">
        <v>4486280</v>
      </c>
      <c r="H285" s="264"/>
      <c r="I285" s="264">
        <v>1</v>
      </c>
      <c r="J285" s="272">
        <v>45777</v>
      </c>
      <c r="K285" s="264">
        <v>55973970</v>
      </c>
      <c r="L285" s="264"/>
      <c r="M285" s="275"/>
    </row>
    <row r="286" spans="2:13" ht="16.5" customHeight="1">
      <c r="B286" s="265" t="s">
        <v>1969</v>
      </c>
      <c r="C286" s="263" t="s">
        <v>687</v>
      </c>
      <c r="D286" s="263">
        <v>1</v>
      </c>
      <c r="E286" s="171">
        <v>41688</v>
      </c>
      <c r="F286" s="264">
        <v>4765906.666666667</v>
      </c>
      <c r="G286" s="268">
        <v>11542640</v>
      </c>
      <c r="H286" s="264"/>
      <c r="I286" s="264">
        <v>1</v>
      </c>
      <c r="J286" s="272">
        <v>45138</v>
      </c>
      <c r="K286" s="264"/>
      <c r="L286" s="264"/>
      <c r="M286" s="275"/>
    </row>
    <row r="287" spans="2:13" ht="16.5" customHeight="1">
      <c r="B287" s="265" t="s">
        <v>1970</v>
      </c>
      <c r="C287" s="263" t="s">
        <v>688</v>
      </c>
      <c r="D287" s="263">
        <v>1</v>
      </c>
      <c r="E287" s="171">
        <v>42107</v>
      </c>
      <c r="F287" s="264">
        <v>5258893.333333333</v>
      </c>
      <c r="G287" s="268">
        <v>56421450</v>
      </c>
      <c r="H287" s="264"/>
      <c r="I287" s="264">
        <v>1</v>
      </c>
      <c r="J287" s="272"/>
      <c r="K287" s="264"/>
      <c r="L287" s="264"/>
      <c r="M287" s="275"/>
    </row>
    <row r="288" spans="2:13" ht="16.5" customHeight="1">
      <c r="B288" s="265" t="s">
        <v>1971</v>
      </c>
      <c r="C288" s="263" t="s">
        <v>689</v>
      </c>
      <c r="D288" s="263">
        <v>1</v>
      </c>
      <c r="E288" s="171">
        <v>42107</v>
      </c>
      <c r="F288" s="264">
        <v>5040205.833333333</v>
      </c>
      <c r="G288" s="268">
        <v>14319710</v>
      </c>
      <c r="H288" s="264"/>
      <c r="I288" s="264">
        <v>1</v>
      </c>
      <c r="J288" s="272">
        <v>44985</v>
      </c>
      <c r="K288" s="264"/>
      <c r="L288" s="264"/>
      <c r="M288" s="275"/>
    </row>
    <row r="289" spans="2:13" ht="16.5" customHeight="1">
      <c r="B289" s="265" t="s">
        <v>1972</v>
      </c>
      <c r="C289" s="263" t="s">
        <v>690</v>
      </c>
      <c r="D289" s="263">
        <v>1</v>
      </c>
      <c r="E289" s="171">
        <v>42144</v>
      </c>
      <c r="F289" s="264">
        <v>4866342.5</v>
      </c>
      <c r="G289" s="268">
        <v>4079730</v>
      </c>
      <c r="H289" s="264"/>
      <c r="I289" s="264">
        <v>1</v>
      </c>
      <c r="J289" s="272">
        <v>45716</v>
      </c>
      <c r="K289" s="264">
        <v>46718940</v>
      </c>
      <c r="L289" s="264"/>
      <c r="M289" s="275"/>
    </row>
    <row r="290" spans="2:13" ht="16.5" customHeight="1">
      <c r="B290" s="265" t="s">
        <v>1973</v>
      </c>
      <c r="C290" s="263" t="s">
        <v>691</v>
      </c>
      <c r="D290" s="263">
        <v>1</v>
      </c>
      <c r="E290" s="171">
        <v>42150</v>
      </c>
      <c r="F290" s="264">
        <v>4919431.666666667</v>
      </c>
      <c r="G290" s="268">
        <v>52199890</v>
      </c>
      <c r="H290" s="264"/>
      <c r="I290" s="264">
        <v>1</v>
      </c>
      <c r="J290" s="272"/>
      <c r="K290" s="264"/>
      <c r="L290" s="264"/>
      <c r="M290" s="275"/>
    </row>
    <row r="291" spans="2:13" ht="16.5" customHeight="1">
      <c r="B291" s="265" t="s">
        <v>1974</v>
      </c>
      <c r="C291" s="263" t="s">
        <v>692</v>
      </c>
      <c r="D291" s="263">
        <v>1</v>
      </c>
      <c r="E291" s="171">
        <v>43773</v>
      </c>
      <c r="F291" s="264">
        <v>3494486.6666666665</v>
      </c>
      <c r="G291" s="268">
        <v>21541360</v>
      </c>
      <c r="H291" s="264"/>
      <c r="I291" s="264">
        <v>1</v>
      </c>
      <c r="J291" s="272"/>
      <c r="K291" s="264"/>
      <c r="L291" s="264"/>
      <c r="M291" s="275"/>
    </row>
    <row r="292" spans="2:13" ht="16.5" customHeight="1">
      <c r="B292" s="265" t="s">
        <v>1975</v>
      </c>
      <c r="C292" s="263" t="s">
        <v>693</v>
      </c>
      <c r="D292" s="263">
        <v>1</v>
      </c>
      <c r="E292" s="171">
        <v>43908</v>
      </c>
      <c r="F292" s="264">
        <v>5199268.333333333</v>
      </c>
      <c r="G292" s="268">
        <v>30127270</v>
      </c>
      <c r="H292" s="264"/>
      <c r="I292" s="264">
        <v>1</v>
      </c>
      <c r="J292" s="272"/>
      <c r="K292" s="264"/>
      <c r="L292" s="264"/>
      <c r="M292" s="275"/>
    </row>
    <row r="293" spans="2:13" ht="16.5" customHeight="1">
      <c r="B293" s="265" t="s">
        <v>1976</v>
      </c>
      <c r="C293" s="263" t="s">
        <v>694</v>
      </c>
      <c r="D293" s="263">
        <v>1</v>
      </c>
      <c r="E293" s="171">
        <v>44291</v>
      </c>
      <c r="F293" s="264">
        <v>4609000</v>
      </c>
      <c r="G293" s="268">
        <v>21870660</v>
      </c>
      <c r="H293" s="264"/>
      <c r="I293" s="264">
        <v>1</v>
      </c>
      <c r="J293" s="272"/>
      <c r="K293" s="264"/>
      <c r="L293" s="264"/>
      <c r="M293" s="275"/>
    </row>
    <row r="294" spans="2:13" ht="16.5" customHeight="1">
      <c r="B294" s="265" t="s">
        <v>1977</v>
      </c>
      <c r="C294" s="263" t="s">
        <v>695</v>
      </c>
      <c r="D294" s="263">
        <v>1</v>
      </c>
      <c r="E294" s="171">
        <v>44515</v>
      </c>
      <c r="F294" s="264">
        <v>5286839.166666667</v>
      </c>
      <c r="G294" s="268">
        <v>21842620</v>
      </c>
      <c r="H294" s="264"/>
      <c r="I294" s="264">
        <v>1</v>
      </c>
      <c r="J294" s="272"/>
      <c r="K294" s="264"/>
      <c r="L294" s="264"/>
      <c r="M294" s="275"/>
    </row>
    <row r="295" spans="2:13" ht="16.5" customHeight="1">
      <c r="B295" s="265" t="s">
        <v>1978</v>
      </c>
      <c r="C295" s="263" t="s">
        <v>696</v>
      </c>
      <c r="D295" s="263">
        <v>1</v>
      </c>
      <c r="E295" s="171">
        <v>44529</v>
      </c>
      <c r="F295" s="264">
        <v>4945016.666666667</v>
      </c>
      <c r="G295" s="268">
        <v>20240700</v>
      </c>
      <c r="H295" s="264"/>
      <c r="I295" s="264">
        <v>1</v>
      </c>
      <c r="J295" s="272"/>
      <c r="K295" s="264"/>
      <c r="L295" s="264"/>
      <c r="M295" s="275"/>
    </row>
    <row r="296" spans="2:13" ht="16.5" customHeight="1">
      <c r="B296" s="265" t="s">
        <v>1979</v>
      </c>
      <c r="C296" s="263" t="s">
        <v>697</v>
      </c>
      <c r="D296" s="263">
        <v>1</v>
      </c>
      <c r="E296" s="171">
        <v>43881</v>
      </c>
      <c r="F296" s="264">
        <v>3932493.3333333335</v>
      </c>
      <c r="G296" s="268">
        <v>23077820</v>
      </c>
      <c r="H296" s="264"/>
      <c r="I296" s="264">
        <v>1</v>
      </c>
      <c r="J296" s="272"/>
      <c r="K296" s="264"/>
      <c r="L296" s="264"/>
      <c r="M296" s="275"/>
    </row>
    <row r="297" spans="2:13" ht="16.5" customHeight="1">
      <c r="B297" s="265" t="s">
        <v>1980</v>
      </c>
      <c r="C297" s="263" t="s">
        <v>698</v>
      </c>
      <c r="D297" s="263">
        <v>1</v>
      </c>
      <c r="E297" s="171">
        <v>44151</v>
      </c>
      <c r="F297" s="264">
        <v>3011117.5</v>
      </c>
      <c r="G297" s="268">
        <v>8299140</v>
      </c>
      <c r="H297" s="264"/>
      <c r="I297" s="264">
        <v>1</v>
      </c>
      <c r="J297" s="272">
        <v>45016</v>
      </c>
      <c r="K297" s="264"/>
      <c r="L297" s="264"/>
      <c r="M297" s="275"/>
    </row>
    <row r="298" spans="2:13" ht="16.5" customHeight="1">
      <c r="B298" s="265" t="s">
        <v>1981</v>
      </c>
      <c r="C298" s="263" t="s">
        <v>699</v>
      </c>
      <c r="D298" s="263">
        <v>1</v>
      </c>
      <c r="E298" s="171">
        <v>44153</v>
      </c>
      <c r="F298" s="264">
        <v>3788985</v>
      </c>
      <c r="G298" s="268">
        <v>19412070</v>
      </c>
      <c r="H298" s="264"/>
      <c r="I298" s="264">
        <v>1</v>
      </c>
      <c r="J298" s="272"/>
      <c r="K298" s="264"/>
      <c r="L298" s="264"/>
      <c r="M298" s="275"/>
    </row>
    <row r="299" spans="2:13" ht="16.5" customHeight="1">
      <c r="B299" s="265" t="s">
        <v>1982</v>
      </c>
      <c r="C299" s="263" t="s">
        <v>700</v>
      </c>
      <c r="D299" s="263">
        <v>1</v>
      </c>
      <c r="E299" s="171">
        <v>44257</v>
      </c>
      <c r="F299" s="264">
        <v>4257040</v>
      </c>
      <c r="G299" s="268">
        <v>20597080</v>
      </c>
      <c r="H299" s="264"/>
      <c r="I299" s="264">
        <v>1</v>
      </c>
      <c r="J299" s="272"/>
      <c r="K299" s="264"/>
      <c r="L299" s="264"/>
      <c r="M299" s="275"/>
    </row>
    <row r="300" spans="2:13" ht="16.5" customHeight="1">
      <c r="B300" s="265" t="s">
        <v>1983</v>
      </c>
      <c r="C300" s="263" t="s">
        <v>701</v>
      </c>
      <c r="D300" s="263">
        <v>1</v>
      </c>
      <c r="E300" s="171">
        <v>44256</v>
      </c>
      <c r="F300" s="264">
        <v>4062898.3333333335</v>
      </c>
      <c r="G300" s="268">
        <v>19668890</v>
      </c>
      <c r="H300" s="264"/>
      <c r="I300" s="264">
        <v>1</v>
      </c>
      <c r="J300" s="272"/>
      <c r="K300" s="264"/>
      <c r="L300" s="264"/>
      <c r="M300" s="275"/>
    </row>
    <row r="301" spans="2:13" ht="16.5" customHeight="1">
      <c r="B301" s="265" t="s">
        <v>1984</v>
      </c>
      <c r="C301" s="263" t="s">
        <v>702</v>
      </c>
      <c r="D301" s="263">
        <v>1</v>
      </c>
      <c r="E301" s="171">
        <v>44284</v>
      </c>
      <c r="F301" s="264">
        <v>4334686.666666667</v>
      </c>
      <c r="G301" s="268">
        <v>20652110</v>
      </c>
      <c r="H301" s="264"/>
      <c r="I301" s="264">
        <v>1</v>
      </c>
      <c r="J301" s="272"/>
      <c r="K301" s="264"/>
      <c r="L301" s="264"/>
      <c r="M301" s="275"/>
    </row>
    <row r="302" spans="2:13" ht="16.5" customHeight="1">
      <c r="B302" s="265" t="s">
        <v>1985</v>
      </c>
      <c r="C302" s="263" t="s">
        <v>703</v>
      </c>
      <c r="D302" s="263">
        <v>1</v>
      </c>
      <c r="E302" s="171">
        <v>44298</v>
      </c>
      <c r="F302" s="264">
        <v>3960624.1666666665</v>
      </c>
      <c r="G302" s="268">
        <v>18718020</v>
      </c>
      <c r="H302" s="264"/>
      <c r="I302" s="264">
        <v>1</v>
      </c>
      <c r="J302" s="272"/>
      <c r="K302" s="264"/>
      <c r="L302" s="264"/>
      <c r="M302" s="275"/>
    </row>
    <row r="303" spans="2:13" ht="16.5" customHeight="1">
      <c r="B303" s="265" t="s">
        <v>1986</v>
      </c>
      <c r="C303" s="263" t="s">
        <v>704</v>
      </c>
      <c r="D303" s="263">
        <v>1</v>
      </c>
      <c r="E303" s="171">
        <v>44305</v>
      </c>
      <c r="F303" s="264">
        <v>3983970</v>
      </c>
      <c r="G303" s="268">
        <v>18751950</v>
      </c>
      <c r="H303" s="264"/>
      <c r="I303" s="264">
        <v>1</v>
      </c>
      <c r="J303" s="272"/>
      <c r="K303" s="264"/>
      <c r="L303" s="264"/>
      <c r="M303" s="275"/>
    </row>
    <row r="304" spans="2:13" ht="16.5" customHeight="1">
      <c r="B304" s="265" t="s">
        <v>1987</v>
      </c>
      <c r="C304" s="263" t="s">
        <v>705</v>
      </c>
      <c r="D304" s="263">
        <v>1</v>
      </c>
      <c r="E304" s="171">
        <v>44312</v>
      </c>
      <c r="F304" s="264">
        <v>4097523.333333333</v>
      </c>
      <c r="G304" s="268">
        <v>19207850</v>
      </c>
      <c r="H304" s="264"/>
      <c r="I304" s="264">
        <v>1</v>
      </c>
      <c r="J304" s="272"/>
      <c r="K304" s="264"/>
      <c r="L304" s="264"/>
      <c r="M304" s="275"/>
    </row>
    <row r="305" spans="2:13" ht="16.5" customHeight="1">
      <c r="B305" s="265" t="s">
        <v>1988</v>
      </c>
      <c r="C305" s="263" t="s">
        <v>706</v>
      </c>
      <c r="D305" s="263">
        <v>1</v>
      </c>
      <c r="E305" s="171">
        <v>44333</v>
      </c>
      <c r="F305" s="264">
        <v>4484813.333333333</v>
      </c>
      <c r="G305" s="268">
        <v>10112340</v>
      </c>
      <c r="H305" s="264"/>
      <c r="I305" s="264">
        <v>1</v>
      </c>
      <c r="J305" s="272">
        <v>45199</v>
      </c>
      <c r="K305" s="264"/>
      <c r="L305" s="264"/>
      <c r="M305" s="275"/>
    </row>
    <row r="306" spans="2:13" ht="16.5" customHeight="1">
      <c r="B306" s="265" t="s">
        <v>1989</v>
      </c>
      <c r="C306" s="263" t="s">
        <v>707</v>
      </c>
      <c r="D306" s="263">
        <v>1</v>
      </c>
      <c r="E306" s="171">
        <v>44340</v>
      </c>
      <c r="F306" s="264">
        <v>4417843.333333334</v>
      </c>
      <c r="G306" s="268">
        <v>20370500</v>
      </c>
      <c r="H306" s="264"/>
      <c r="I306" s="264">
        <v>1</v>
      </c>
      <c r="J306" s="272"/>
      <c r="K306" s="264"/>
      <c r="L306" s="264"/>
      <c r="M306" s="275"/>
    </row>
    <row r="307" spans="2:13" ht="16.5" customHeight="1">
      <c r="B307" s="265" t="s">
        <v>1990</v>
      </c>
      <c r="C307" s="263" t="s">
        <v>708</v>
      </c>
      <c r="D307" s="263">
        <v>1</v>
      </c>
      <c r="E307" s="171">
        <v>44375</v>
      </c>
      <c r="F307" s="264">
        <v>4292856.666666667</v>
      </c>
      <c r="G307" s="268">
        <v>19382550</v>
      </c>
      <c r="H307" s="264"/>
      <c r="I307" s="264">
        <v>1</v>
      </c>
      <c r="J307" s="272"/>
      <c r="K307" s="264"/>
      <c r="L307" s="264"/>
      <c r="M307" s="275"/>
    </row>
    <row r="308" spans="2:13" ht="16.5" customHeight="1">
      <c r="B308" s="265" t="s">
        <v>1991</v>
      </c>
      <c r="C308" s="263" t="s">
        <v>709</v>
      </c>
      <c r="D308" s="263">
        <v>1</v>
      </c>
      <c r="E308" s="171">
        <v>44494</v>
      </c>
      <c r="F308" s="264">
        <v>2943590</v>
      </c>
      <c r="G308" s="268">
        <v>12330820</v>
      </c>
      <c r="H308" s="264"/>
      <c r="I308" s="264">
        <v>1</v>
      </c>
      <c r="J308" s="272"/>
      <c r="K308" s="264"/>
      <c r="L308" s="264"/>
      <c r="M308" s="275"/>
    </row>
    <row r="309" spans="2:13" ht="16.5" customHeight="1">
      <c r="B309" s="265" t="s">
        <v>1992</v>
      </c>
      <c r="C309" s="263" t="s">
        <v>710</v>
      </c>
      <c r="D309" s="263">
        <v>1</v>
      </c>
      <c r="E309" s="171">
        <v>44501</v>
      </c>
      <c r="F309" s="264">
        <v>4441150.833333333</v>
      </c>
      <c r="G309" s="268">
        <v>9636690</v>
      </c>
      <c r="H309" s="264"/>
      <c r="I309" s="264">
        <v>1</v>
      </c>
      <c r="J309" s="272">
        <v>45230</v>
      </c>
      <c r="K309" s="264"/>
      <c r="L309" s="264"/>
      <c r="M309" s="275"/>
    </row>
    <row r="310" spans="2:13" ht="16.5" customHeight="1">
      <c r="B310" s="265" t="s">
        <v>1993</v>
      </c>
      <c r="C310" s="263" t="s">
        <v>711</v>
      </c>
      <c r="D310" s="263">
        <v>1</v>
      </c>
      <c r="E310" s="171">
        <v>44515</v>
      </c>
      <c r="F310" s="264">
        <v>3974742.5</v>
      </c>
      <c r="G310" s="268">
        <v>16421680</v>
      </c>
      <c r="H310" s="264"/>
      <c r="I310" s="264">
        <v>1</v>
      </c>
      <c r="J310" s="272"/>
      <c r="K310" s="264"/>
      <c r="L310" s="264"/>
      <c r="M310" s="275"/>
    </row>
    <row r="311" spans="2:13" ht="16.5" customHeight="1">
      <c r="B311" s="265" t="s">
        <v>1994</v>
      </c>
      <c r="C311" s="263" t="s">
        <v>712</v>
      </c>
      <c r="D311" s="263">
        <v>1</v>
      </c>
      <c r="E311" s="171">
        <v>44700</v>
      </c>
      <c r="F311" s="264">
        <v>4289011.666666667</v>
      </c>
      <c r="G311" s="268">
        <v>15546200</v>
      </c>
      <c r="H311" s="264"/>
      <c r="I311" s="264">
        <v>1</v>
      </c>
      <c r="J311" s="272"/>
      <c r="K311" s="264"/>
      <c r="L311" s="264"/>
      <c r="M311" s="275"/>
    </row>
    <row r="312" spans="2:13" ht="16.5" customHeight="1">
      <c r="B312" s="265" t="s">
        <v>1995</v>
      </c>
      <c r="C312" s="263" t="s">
        <v>713</v>
      </c>
      <c r="D312" s="263">
        <v>1</v>
      </c>
      <c r="E312" s="171">
        <v>44719</v>
      </c>
      <c r="F312" s="264">
        <v>3845835</v>
      </c>
      <c r="G312" s="268">
        <v>13739650</v>
      </c>
      <c r="H312" s="264"/>
      <c r="I312" s="264">
        <v>1</v>
      </c>
      <c r="J312" s="272"/>
      <c r="K312" s="264"/>
      <c r="L312" s="264"/>
      <c r="M312" s="275"/>
    </row>
    <row r="313" spans="2:13" ht="16.5" customHeight="1">
      <c r="B313" s="265" t="s">
        <v>1996</v>
      </c>
      <c r="C313" s="263" t="s">
        <v>714</v>
      </c>
      <c r="D313" s="263">
        <v>1</v>
      </c>
      <c r="E313" s="171">
        <v>44760</v>
      </c>
      <c r="F313" s="264">
        <v>4918267.5</v>
      </c>
      <c r="G313" s="268">
        <v>17018560</v>
      </c>
      <c r="H313" s="264"/>
      <c r="I313" s="264">
        <v>1</v>
      </c>
      <c r="J313" s="272"/>
      <c r="K313" s="264"/>
      <c r="L313" s="264"/>
      <c r="M313" s="275"/>
    </row>
    <row r="314" spans="2:13" ht="16.5" customHeight="1">
      <c r="B314" s="265" t="s">
        <v>1997</v>
      </c>
      <c r="C314" s="263" t="s">
        <v>715</v>
      </c>
      <c r="D314" s="263">
        <v>1</v>
      </c>
      <c r="E314" s="171">
        <v>45117</v>
      </c>
      <c r="F314" s="264">
        <v>3621956.6666666665</v>
      </c>
      <c r="G314" s="268">
        <v>8990400</v>
      </c>
      <c r="H314" s="264"/>
      <c r="I314" s="264">
        <v>1</v>
      </c>
      <c r="J314" s="272"/>
      <c r="K314" s="264"/>
      <c r="L314" s="264"/>
      <c r="M314" s="275"/>
    </row>
    <row r="315" spans="2:13" ht="16.5" customHeight="1">
      <c r="B315" s="265" t="s">
        <v>1998</v>
      </c>
      <c r="C315" s="263" t="s">
        <v>716</v>
      </c>
      <c r="D315" s="263">
        <v>1</v>
      </c>
      <c r="E315" s="171">
        <v>45299</v>
      </c>
      <c r="F315" s="264">
        <v>3517726.6666666665</v>
      </c>
      <c r="G315" s="268">
        <v>6977630</v>
      </c>
      <c r="H315" s="264"/>
      <c r="I315" s="264">
        <v>1</v>
      </c>
      <c r="J315" s="272"/>
      <c r="K315" s="264"/>
      <c r="L315" s="264"/>
      <c r="M315" s="275"/>
    </row>
    <row r="316" spans="2:13" ht="16.5" customHeight="1">
      <c r="B316" s="265" t="s">
        <v>1999</v>
      </c>
      <c r="C316" s="263" t="s">
        <v>717</v>
      </c>
      <c r="D316" s="263">
        <v>1</v>
      </c>
      <c r="E316" s="171">
        <v>45299</v>
      </c>
      <c r="F316" s="264">
        <v>4190043.3333333335</v>
      </c>
      <c r="G316" s="268">
        <v>8311210</v>
      </c>
      <c r="H316" s="264"/>
      <c r="I316" s="264">
        <v>1</v>
      </c>
      <c r="J316" s="272"/>
      <c r="K316" s="264"/>
      <c r="L316" s="264"/>
      <c r="M316" s="275"/>
    </row>
    <row r="317" spans="2:13" ht="16.5" customHeight="1">
      <c r="B317" s="265" t="s">
        <v>2000</v>
      </c>
      <c r="C317" s="263" t="s">
        <v>718</v>
      </c>
      <c r="D317" s="263">
        <v>1</v>
      </c>
      <c r="E317" s="171">
        <v>45404</v>
      </c>
      <c r="F317" s="264">
        <v>4281590</v>
      </c>
      <c r="G317" s="268">
        <v>7261110</v>
      </c>
      <c r="H317" s="264"/>
      <c r="I317" s="264">
        <v>1</v>
      </c>
      <c r="J317" s="272"/>
      <c r="K317" s="264"/>
      <c r="L317" s="264"/>
      <c r="M317" s="275"/>
    </row>
    <row r="318" spans="2:13" ht="16.5" customHeight="1">
      <c r="B318" s="265" t="s">
        <v>2001</v>
      </c>
      <c r="C318" s="263" t="s">
        <v>719</v>
      </c>
      <c r="D318" s="263">
        <v>1</v>
      </c>
      <c r="E318" s="171">
        <v>45432</v>
      </c>
      <c r="F318" s="264">
        <v>4425376.666666667</v>
      </c>
      <c r="G318" s="268">
        <v>7165480</v>
      </c>
      <c r="H318" s="264"/>
      <c r="I318" s="264">
        <v>1</v>
      </c>
      <c r="J318" s="272"/>
      <c r="K318" s="264"/>
      <c r="L318" s="264"/>
      <c r="M318" s="275"/>
    </row>
    <row r="319" spans="2:13" ht="16.5" customHeight="1">
      <c r="B319" s="265" t="s">
        <v>2002</v>
      </c>
      <c r="C319" s="263" t="s">
        <v>720</v>
      </c>
      <c r="D319" s="263">
        <v>2</v>
      </c>
      <c r="E319" s="171">
        <v>45448</v>
      </c>
      <c r="F319" s="264">
        <v>3467133.3333333335</v>
      </c>
      <c r="G319" s="268">
        <v>5461930</v>
      </c>
      <c r="H319" s="264"/>
      <c r="I319" s="264">
        <v>1</v>
      </c>
      <c r="J319" s="272"/>
      <c r="K319" s="264"/>
      <c r="L319" s="264"/>
      <c r="M319" s="275"/>
    </row>
    <row r="320" spans="2:13" ht="16.5" customHeight="1">
      <c r="B320" s="265" t="s">
        <v>2003</v>
      </c>
      <c r="C320" s="263" t="s">
        <v>416</v>
      </c>
      <c r="D320" s="263">
        <v>1</v>
      </c>
      <c r="E320" s="171">
        <v>45483</v>
      </c>
      <c r="F320" s="264">
        <v>4057203.3333333335</v>
      </c>
      <c r="G320" s="268">
        <v>6002440</v>
      </c>
      <c r="H320" s="264"/>
      <c r="I320" s="264">
        <v>1</v>
      </c>
      <c r="J320" s="272"/>
      <c r="K320" s="264"/>
      <c r="L320" s="264"/>
      <c r="M320" s="275"/>
    </row>
    <row r="321" spans="2:13" ht="16.5" customHeight="1">
      <c r="B321" s="265" t="s">
        <v>2004</v>
      </c>
      <c r="C321" s="263" t="s">
        <v>721</v>
      </c>
      <c r="D321" s="263">
        <v>2</v>
      </c>
      <c r="E321" s="171">
        <v>45483</v>
      </c>
      <c r="F321" s="264">
        <v>3589156.6666666665</v>
      </c>
      <c r="G321" s="268">
        <v>5309990</v>
      </c>
      <c r="H321" s="264"/>
      <c r="I321" s="264">
        <v>1</v>
      </c>
      <c r="J321" s="272"/>
      <c r="K321" s="264"/>
      <c r="L321" s="264"/>
      <c r="M321" s="275"/>
    </row>
    <row r="322" spans="2:13" ht="16.5" customHeight="1">
      <c r="B322" s="265" t="s">
        <v>2005</v>
      </c>
      <c r="C322" s="263" t="s">
        <v>722</v>
      </c>
      <c r="D322" s="263">
        <v>2</v>
      </c>
      <c r="E322" s="171">
        <v>45488</v>
      </c>
      <c r="F322" s="264">
        <v>3221746.6666666665</v>
      </c>
      <c r="G322" s="268">
        <v>4722290</v>
      </c>
      <c r="H322" s="264"/>
      <c r="I322" s="264">
        <v>1</v>
      </c>
      <c r="J322" s="272"/>
      <c r="K322" s="264"/>
      <c r="L322" s="264"/>
      <c r="M322" s="275"/>
    </row>
    <row r="323" spans="2:13" ht="16.5" customHeight="1">
      <c r="B323" s="265" t="s">
        <v>2006</v>
      </c>
      <c r="C323" s="263" t="s">
        <v>723</v>
      </c>
      <c r="D323" s="263">
        <v>1</v>
      </c>
      <c r="E323" s="171">
        <v>45516</v>
      </c>
      <c r="F323" s="264">
        <v>5760243.333333333</v>
      </c>
      <c r="G323" s="268">
        <v>8001220</v>
      </c>
      <c r="H323" s="264"/>
      <c r="I323" s="264">
        <v>1</v>
      </c>
      <c r="J323" s="272"/>
      <c r="K323" s="264"/>
      <c r="L323" s="264"/>
      <c r="M323" s="275"/>
    </row>
    <row r="324" spans="2:13" ht="16.5" customHeight="1">
      <c r="B324" s="265" t="s">
        <v>2007</v>
      </c>
      <c r="C324" s="263" t="s">
        <v>724</v>
      </c>
      <c r="D324" s="263">
        <v>1</v>
      </c>
      <c r="E324" s="171">
        <v>36453</v>
      </c>
      <c r="F324" s="264">
        <v>7131014.166666667</v>
      </c>
      <c r="G324" s="268">
        <v>96942720</v>
      </c>
      <c r="H324" s="264"/>
      <c r="I324" s="264">
        <v>1</v>
      </c>
      <c r="J324" s="272">
        <v>41060</v>
      </c>
      <c r="K324" s="264"/>
      <c r="L324" s="264"/>
      <c r="M324" s="275"/>
    </row>
    <row r="325" spans="2:13" ht="16.5" customHeight="1">
      <c r="B325" s="265" t="s">
        <v>2008</v>
      </c>
      <c r="C325" s="263" t="s">
        <v>725</v>
      </c>
      <c r="D325" s="263">
        <v>1</v>
      </c>
      <c r="E325" s="171">
        <v>44242</v>
      </c>
      <c r="F325" s="264">
        <v>5373030</v>
      </c>
      <c r="G325" s="268">
        <v>6727330</v>
      </c>
      <c r="H325" s="264"/>
      <c r="I325" s="264">
        <v>1</v>
      </c>
      <c r="J325" s="272">
        <v>45565</v>
      </c>
      <c r="K325" s="264"/>
      <c r="L325" s="264"/>
      <c r="M325" s="275"/>
    </row>
    <row r="326" spans="2:13" ht="16.5" customHeight="1">
      <c r="B326" s="265" t="s">
        <v>2009</v>
      </c>
      <c r="C326" s="263" t="s">
        <v>726</v>
      </c>
      <c r="D326" s="263">
        <v>1</v>
      </c>
      <c r="E326" s="171">
        <v>39576</v>
      </c>
      <c r="F326" s="264">
        <v>5270616.666666667</v>
      </c>
      <c r="G326" s="268">
        <v>12765010</v>
      </c>
      <c r="H326" s="264"/>
      <c r="I326" s="264">
        <v>1</v>
      </c>
      <c r="J326" s="272">
        <v>45138</v>
      </c>
      <c r="K326" s="264"/>
      <c r="L326" s="264"/>
      <c r="M326" s="275"/>
    </row>
    <row r="327" spans="2:13" ht="16.5" customHeight="1">
      <c r="B327" s="265" t="s">
        <v>2010</v>
      </c>
      <c r="C327" s="263" t="s">
        <v>727</v>
      </c>
      <c r="D327" s="263">
        <v>1</v>
      </c>
      <c r="E327" s="171">
        <v>43570</v>
      </c>
      <c r="F327" s="264">
        <v>3928716.6666666665</v>
      </c>
      <c r="G327" s="268">
        <v>26403130</v>
      </c>
      <c r="H327" s="264"/>
      <c r="I327" s="264">
        <v>1</v>
      </c>
      <c r="J327" s="272"/>
      <c r="K327" s="264"/>
      <c r="L327" s="264"/>
      <c r="M327" s="275"/>
    </row>
    <row r="328" spans="2:13" ht="16.5" customHeight="1">
      <c r="B328" s="265" t="s">
        <v>2011</v>
      </c>
      <c r="C328" s="263" t="s">
        <v>728</v>
      </c>
      <c r="D328" s="263">
        <v>2</v>
      </c>
      <c r="E328" s="171">
        <v>43992</v>
      </c>
      <c r="F328" s="264">
        <v>3546710</v>
      </c>
      <c r="G328" s="268">
        <v>7695880</v>
      </c>
      <c r="H328" s="264"/>
      <c r="I328" s="264">
        <v>1</v>
      </c>
      <c r="J328" s="272">
        <v>45230</v>
      </c>
      <c r="K328" s="264"/>
      <c r="L328" s="264"/>
      <c r="M328" s="275"/>
    </row>
    <row r="329" spans="2:13" ht="16.5" customHeight="1">
      <c r="B329" s="265" t="s">
        <v>2012</v>
      </c>
      <c r="C329" s="263" t="s">
        <v>729</v>
      </c>
      <c r="D329" s="263">
        <v>1</v>
      </c>
      <c r="E329" s="171">
        <v>44753</v>
      </c>
      <c r="F329" s="264">
        <v>4536000</v>
      </c>
      <c r="G329" s="268">
        <v>15782800</v>
      </c>
      <c r="H329" s="264"/>
      <c r="I329" s="264">
        <v>1</v>
      </c>
      <c r="J329" s="272"/>
      <c r="K329" s="264"/>
      <c r="L329" s="264"/>
      <c r="M329" s="275"/>
    </row>
    <row r="330" spans="2:13" ht="16.5" customHeight="1">
      <c r="B330" s="265" t="s">
        <v>2013</v>
      </c>
      <c r="C330" s="263" t="s">
        <v>730</v>
      </c>
      <c r="D330" s="263">
        <v>1</v>
      </c>
      <c r="E330" s="171">
        <v>44753</v>
      </c>
      <c r="F330" s="264">
        <v>3359440</v>
      </c>
      <c r="G330" s="268">
        <v>11689020</v>
      </c>
      <c r="H330" s="264"/>
      <c r="I330" s="264">
        <v>1</v>
      </c>
      <c r="J330" s="272"/>
      <c r="K330" s="264"/>
      <c r="L330" s="264"/>
      <c r="M330" s="275"/>
    </row>
    <row r="331" spans="2:13" ht="16.5" customHeight="1">
      <c r="B331" s="265" t="s">
        <v>2014</v>
      </c>
      <c r="C331" s="263" t="s">
        <v>731</v>
      </c>
      <c r="D331" s="263">
        <v>1</v>
      </c>
      <c r="E331" s="171">
        <v>45600</v>
      </c>
      <c r="F331" s="264">
        <v>4202206.666666667</v>
      </c>
      <c r="G331" s="268">
        <v>4869960</v>
      </c>
      <c r="H331" s="264"/>
      <c r="I331" s="264">
        <v>1</v>
      </c>
      <c r="J331" s="272"/>
      <c r="K331" s="264"/>
      <c r="L331" s="264"/>
      <c r="M331" s="275"/>
    </row>
    <row r="332" spans="2:13" ht="16.5" customHeight="1">
      <c r="B332" s="265" t="s">
        <v>2015</v>
      </c>
      <c r="C332" s="263" t="s">
        <v>732</v>
      </c>
      <c r="D332" s="263">
        <v>1</v>
      </c>
      <c r="E332" s="171">
        <v>38278</v>
      </c>
      <c r="F332" s="264">
        <v>6964215</v>
      </c>
      <c r="G332" s="268">
        <v>98739220</v>
      </c>
      <c r="H332" s="264"/>
      <c r="I332" s="264">
        <v>1</v>
      </c>
      <c r="J332" s="272">
        <v>40847</v>
      </c>
      <c r="K332" s="264"/>
      <c r="L332" s="264"/>
      <c r="M332" s="275"/>
    </row>
    <row r="333" spans="2:13" ht="16.5" customHeight="1">
      <c r="B333" s="265" t="s">
        <v>2016</v>
      </c>
      <c r="C333" s="263" t="s">
        <v>733</v>
      </c>
      <c r="D333" s="263">
        <v>1</v>
      </c>
      <c r="E333" s="171">
        <v>40028</v>
      </c>
      <c r="F333" s="264">
        <v>6152853.333333334</v>
      </c>
      <c r="G333" s="268">
        <v>86729950</v>
      </c>
      <c r="H333" s="264"/>
      <c r="I333" s="264">
        <v>1</v>
      </c>
      <c r="J333" s="272">
        <v>40877</v>
      </c>
      <c r="K333" s="264"/>
      <c r="L333" s="264"/>
      <c r="M333" s="275"/>
    </row>
    <row r="334" spans="2:13" ht="16.5" customHeight="1">
      <c r="B334" s="265" t="s">
        <v>2017</v>
      </c>
      <c r="C334" s="263" t="s">
        <v>734</v>
      </c>
      <c r="D334" s="263">
        <v>1</v>
      </c>
      <c r="E334" s="171">
        <v>41225</v>
      </c>
      <c r="F334" s="264">
        <v>6209211.666666667</v>
      </c>
      <c r="G334" s="268">
        <v>81621370</v>
      </c>
      <c r="H334" s="264"/>
      <c r="I334" s="264">
        <v>1</v>
      </c>
      <c r="J334" s="272"/>
      <c r="K334" s="264"/>
      <c r="L334" s="264"/>
      <c r="M334" s="275"/>
    </row>
    <row r="335" spans="2:13" ht="16.5" customHeight="1">
      <c r="B335" s="265" t="s">
        <v>2018</v>
      </c>
      <c r="C335" s="263" t="s">
        <v>735</v>
      </c>
      <c r="D335" s="263">
        <v>1</v>
      </c>
      <c r="E335" s="171">
        <v>42111</v>
      </c>
      <c r="F335" s="264">
        <v>4881725.833333334</v>
      </c>
      <c r="G335" s="268">
        <v>52321410</v>
      </c>
      <c r="H335" s="264"/>
      <c r="I335" s="264">
        <v>1</v>
      </c>
      <c r="J335" s="272"/>
      <c r="K335" s="264"/>
      <c r="L335" s="264"/>
      <c r="M335" s="275"/>
    </row>
    <row r="336" spans="2:13" ht="16.5" customHeight="1">
      <c r="B336" s="265" t="s">
        <v>2019</v>
      </c>
      <c r="C336" s="263" t="s">
        <v>736</v>
      </c>
      <c r="D336" s="263">
        <v>1</v>
      </c>
      <c r="E336" s="171">
        <v>43405</v>
      </c>
      <c r="F336" s="264">
        <v>4774813.333333334</v>
      </c>
      <c r="G336" s="268">
        <v>34247840</v>
      </c>
      <c r="H336" s="264"/>
      <c r="I336" s="264">
        <v>1</v>
      </c>
      <c r="J336" s="272"/>
      <c r="K336" s="264"/>
      <c r="L336" s="264"/>
      <c r="M336" s="275"/>
    </row>
    <row r="337" spans="2:13" ht="16.5" customHeight="1">
      <c r="B337" s="265" t="s">
        <v>2020</v>
      </c>
      <c r="C337" s="263" t="s">
        <v>737</v>
      </c>
      <c r="D337" s="263">
        <v>1</v>
      </c>
      <c r="E337" s="171">
        <v>44160</v>
      </c>
      <c r="F337" s="264">
        <v>4263335</v>
      </c>
      <c r="G337" s="268">
        <v>21760530</v>
      </c>
      <c r="H337" s="264"/>
      <c r="I337" s="264">
        <v>1</v>
      </c>
      <c r="J337" s="272"/>
      <c r="K337" s="264"/>
      <c r="L337" s="264"/>
      <c r="M337" s="275"/>
    </row>
    <row r="338" spans="2:13" ht="16.5" customHeight="1">
      <c r="B338" s="265" t="s">
        <v>2021</v>
      </c>
      <c r="C338" s="263" t="s">
        <v>738</v>
      </c>
      <c r="D338" s="263">
        <v>1</v>
      </c>
      <c r="E338" s="171">
        <v>44265</v>
      </c>
      <c r="F338" s="264">
        <v>4636534.166666667</v>
      </c>
      <c r="G338" s="268">
        <v>22331590</v>
      </c>
      <c r="H338" s="264"/>
      <c r="I338" s="264">
        <v>1</v>
      </c>
      <c r="J338" s="272"/>
      <c r="K338" s="264"/>
      <c r="L338" s="264"/>
      <c r="M338" s="275"/>
    </row>
    <row r="339" spans="2:13" ht="16.5" customHeight="1">
      <c r="B339" s="265" t="s">
        <v>2022</v>
      </c>
      <c r="C339" s="263" t="s">
        <v>739</v>
      </c>
      <c r="D339" s="263">
        <v>1</v>
      </c>
      <c r="E339" s="171">
        <v>44438</v>
      </c>
      <c r="F339" s="264">
        <v>4301011.666666667</v>
      </c>
      <c r="G339" s="268">
        <v>18677000</v>
      </c>
      <c r="H339" s="264"/>
      <c r="I339" s="264">
        <v>1</v>
      </c>
      <c r="J339" s="272"/>
      <c r="K339" s="264"/>
      <c r="L339" s="264"/>
      <c r="M339" s="275"/>
    </row>
    <row r="340" spans="2:13" ht="16.5" customHeight="1">
      <c r="B340" s="265" t="s">
        <v>2023</v>
      </c>
      <c r="C340" s="263" t="s">
        <v>740</v>
      </c>
      <c r="D340" s="263">
        <v>1</v>
      </c>
      <c r="E340" s="171">
        <v>44466</v>
      </c>
      <c r="F340" s="264">
        <v>4024494.1666666665</v>
      </c>
      <c r="G340" s="268">
        <v>17167500</v>
      </c>
      <c r="H340" s="264"/>
      <c r="I340" s="264">
        <v>1</v>
      </c>
      <c r="J340" s="272"/>
      <c r="K340" s="264"/>
      <c r="L340" s="264"/>
      <c r="M340" s="275"/>
    </row>
    <row r="341" spans="2:13" ht="16.5" customHeight="1">
      <c r="B341" s="265" t="s">
        <v>2024</v>
      </c>
      <c r="C341" s="263" t="s">
        <v>445</v>
      </c>
      <c r="D341" s="263">
        <v>1</v>
      </c>
      <c r="E341" s="171">
        <v>44798</v>
      </c>
      <c r="F341" s="264">
        <v>3563616.6666666665</v>
      </c>
      <c r="G341" s="268">
        <v>11960090</v>
      </c>
      <c r="H341" s="264"/>
      <c r="I341" s="264">
        <v>1</v>
      </c>
      <c r="J341" s="272"/>
      <c r="K341" s="264"/>
      <c r="L341" s="264"/>
      <c r="M341" s="275"/>
    </row>
    <row r="342" spans="2:13" ht="16.5" customHeight="1">
      <c r="B342" s="265" t="s">
        <v>2025</v>
      </c>
      <c r="C342" s="263" t="s">
        <v>741</v>
      </c>
      <c r="D342" s="263">
        <v>1</v>
      </c>
      <c r="E342" s="171">
        <v>45145</v>
      </c>
      <c r="F342" s="264">
        <v>3338543.3333333335</v>
      </c>
      <c r="G342" s="268">
        <v>8030800</v>
      </c>
      <c r="H342" s="264"/>
      <c r="I342" s="264">
        <v>1</v>
      </c>
      <c r="J342" s="272"/>
      <c r="K342" s="264"/>
      <c r="L342" s="264"/>
      <c r="M342" s="275"/>
    </row>
    <row r="343" spans="2:13" ht="16.5" customHeight="1">
      <c r="B343" s="265" t="s">
        <v>2026</v>
      </c>
      <c r="C343" s="263" t="s">
        <v>742</v>
      </c>
      <c r="D343" s="263">
        <v>1</v>
      </c>
      <c r="E343" s="171">
        <v>36303</v>
      </c>
      <c r="F343" s="264">
        <v>58333340</v>
      </c>
      <c r="G343" s="268">
        <v>2330137260</v>
      </c>
      <c r="H343" s="264"/>
      <c r="I343" s="264">
        <v>3</v>
      </c>
      <c r="J343" s="272"/>
      <c r="K343" s="264"/>
      <c r="L343" s="264"/>
      <c r="M343" s="275">
        <v>1.5</v>
      </c>
    </row>
    <row r="344" spans="2:13" ht="16.5" customHeight="1">
      <c r="B344" s="265" t="s">
        <v>2027</v>
      </c>
      <c r="C344" s="263" t="s">
        <v>743</v>
      </c>
      <c r="D344" s="263">
        <v>1</v>
      </c>
      <c r="E344" s="171">
        <v>37881</v>
      </c>
      <c r="F344" s="264">
        <v>41666670</v>
      </c>
      <c r="G344" s="268">
        <v>476369910</v>
      </c>
      <c r="H344" s="264"/>
      <c r="I344" s="264">
        <v>3</v>
      </c>
      <c r="J344" s="272">
        <v>43240</v>
      </c>
      <c r="K344" s="264"/>
      <c r="L344" s="264"/>
      <c r="M344" s="275">
        <v>1.5</v>
      </c>
    </row>
    <row r="345" spans="2:13" ht="16.5" customHeight="1">
      <c r="B345" s="265" t="s">
        <v>2028</v>
      </c>
      <c r="C345" s="263" t="s">
        <v>744</v>
      </c>
      <c r="D345" s="263">
        <v>1</v>
      </c>
      <c r="E345" s="171">
        <v>44109</v>
      </c>
      <c r="F345" s="264">
        <v>14216670</v>
      </c>
      <c r="G345" s="268">
        <v>68286760</v>
      </c>
      <c r="H345" s="264"/>
      <c r="I345" s="264">
        <v>3</v>
      </c>
      <c r="J345" s="272">
        <v>44561</v>
      </c>
      <c r="K345" s="264"/>
      <c r="L345" s="264"/>
      <c r="M345" s="275">
        <v>1.2</v>
      </c>
    </row>
    <row r="346" spans="2:13" ht="16.5" customHeight="1">
      <c r="B346" s="265" t="s">
        <v>2029</v>
      </c>
      <c r="C346" s="263" t="s">
        <v>745</v>
      </c>
      <c r="D346" s="263">
        <v>1</v>
      </c>
      <c r="E346" s="171">
        <v>39846</v>
      </c>
      <c r="F346" s="264">
        <v>11666670</v>
      </c>
      <c r="G346" s="268">
        <v>42038380</v>
      </c>
      <c r="H346" s="264"/>
      <c r="I346" s="264">
        <v>3</v>
      </c>
      <c r="J346" s="272">
        <v>44926</v>
      </c>
      <c r="K346" s="264"/>
      <c r="L346" s="264"/>
      <c r="M346" s="275">
        <v>1.2</v>
      </c>
    </row>
    <row r="347" spans="2:13" ht="16.5" customHeight="1">
      <c r="B347" s="265" t="s">
        <v>2030</v>
      </c>
      <c r="C347" s="263" t="s">
        <v>746</v>
      </c>
      <c r="D347" s="263">
        <v>1</v>
      </c>
      <c r="E347" s="171">
        <v>44578</v>
      </c>
      <c r="F347" s="264">
        <v>12500000</v>
      </c>
      <c r="G347" s="268">
        <v>59383580</v>
      </c>
      <c r="H347" s="264"/>
      <c r="I347" s="264">
        <v>3</v>
      </c>
      <c r="J347" s="272"/>
      <c r="K347" s="264"/>
      <c r="L347" s="264"/>
      <c r="M347" s="275">
        <v>1.2</v>
      </c>
    </row>
    <row r="348" spans="2:13" ht="16.5" customHeight="1">
      <c r="B348" s="265" t="s">
        <v>2031</v>
      </c>
      <c r="C348" s="263" t="s">
        <v>747</v>
      </c>
      <c r="D348" s="263">
        <v>1</v>
      </c>
      <c r="E348" s="171">
        <v>38971</v>
      </c>
      <c r="F348" s="264">
        <v>11666670</v>
      </c>
      <c r="G348" s="268">
        <v>42038380</v>
      </c>
      <c r="H348" s="264"/>
      <c r="I348" s="264">
        <v>3</v>
      </c>
      <c r="J348" s="272">
        <v>44926</v>
      </c>
      <c r="K348" s="264"/>
      <c r="L348" s="264"/>
      <c r="M348" s="275">
        <v>1.2</v>
      </c>
    </row>
    <row r="349" spans="2:13" ht="16.5" customHeight="1">
      <c r="B349" s="265" t="s">
        <v>2032</v>
      </c>
      <c r="C349" s="263" t="s">
        <v>748</v>
      </c>
      <c r="D349" s="263">
        <v>1</v>
      </c>
      <c r="E349" s="171">
        <v>44172</v>
      </c>
      <c r="F349" s="264">
        <v>11093750.833333334</v>
      </c>
      <c r="G349" s="268">
        <v>13312520</v>
      </c>
      <c r="H349" s="264"/>
      <c r="I349" s="264">
        <v>3</v>
      </c>
      <c r="J349" s="272">
        <v>45657</v>
      </c>
      <c r="K349" s="264"/>
      <c r="L349" s="264"/>
      <c r="M349" s="275">
        <v>1.2</v>
      </c>
    </row>
    <row r="350" spans="2:13" ht="16.5" customHeight="1">
      <c r="B350" s="265" t="s">
        <v>2033</v>
      </c>
      <c r="C350" s="263" t="s">
        <v>749</v>
      </c>
      <c r="D350" s="263">
        <v>1</v>
      </c>
      <c r="E350" s="171">
        <v>44221</v>
      </c>
      <c r="F350" s="264">
        <v>11666670</v>
      </c>
      <c r="G350" s="268">
        <v>42038380</v>
      </c>
      <c r="H350" s="264"/>
      <c r="I350" s="264">
        <v>3</v>
      </c>
      <c r="J350" s="272">
        <v>44926</v>
      </c>
      <c r="K350" s="264"/>
      <c r="L350" s="264"/>
      <c r="M350" s="275">
        <v>1.2</v>
      </c>
    </row>
    <row r="351" spans="2:13" ht="16.5" customHeight="1">
      <c r="B351" s="265" t="s">
        <v>2034</v>
      </c>
      <c r="C351" s="263" t="s">
        <v>750</v>
      </c>
      <c r="D351" s="263">
        <v>1</v>
      </c>
      <c r="E351" s="171">
        <v>44621</v>
      </c>
      <c r="F351" s="264">
        <v>15000000</v>
      </c>
      <c r="G351" s="268">
        <v>69139730</v>
      </c>
      <c r="H351" s="264"/>
      <c r="I351" s="264">
        <v>3</v>
      </c>
      <c r="J351" s="272"/>
      <c r="K351" s="264"/>
      <c r="L351" s="264"/>
      <c r="M351" s="275">
        <v>1.2</v>
      </c>
    </row>
    <row r="352" spans="2:13" ht="16.5" customHeight="1">
      <c r="B352" s="265" t="s">
        <v>2035</v>
      </c>
      <c r="C352" s="263" t="s">
        <v>751</v>
      </c>
      <c r="D352" s="263">
        <v>1</v>
      </c>
      <c r="E352" s="171">
        <v>45379</v>
      </c>
      <c r="F352" s="264">
        <v>6059209.333333333</v>
      </c>
      <c r="G352" s="268">
        <v>10690770</v>
      </c>
      <c r="H352" s="264"/>
      <c r="I352" s="264">
        <v>4</v>
      </c>
      <c r="J352" s="272"/>
      <c r="K352" s="264"/>
      <c r="L352" s="264"/>
      <c r="M352" s="275"/>
    </row>
    <row r="353" spans="2:13" ht="16.5" customHeight="1">
      <c r="B353" s="265" t="s">
        <v>2036</v>
      </c>
      <c r="C353" s="263" t="s">
        <v>752</v>
      </c>
      <c r="D353" s="263">
        <v>2</v>
      </c>
      <c r="E353" s="171">
        <v>45348</v>
      </c>
      <c r="F353" s="264">
        <v>2733340</v>
      </c>
      <c r="G353" s="268">
        <v>5054810</v>
      </c>
      <c r="H353" s="264"/>
      <c r="I353" s="264">
        <v>4</v>
      </c>
      <c r="J353" s="272"/>
      <c r="K353" s="264"/>
      <c r="L353" s="264"/>
      <c r="M353" s="275"/>
    </row>
    <row r="354" spans="2:13" ht="16.5" customHeight="1">
      <c r="B354" s="265" t="s">
        <v>2037</v>
      </c>
      <c r="C354" s="263" t="s">
        <v>753</v>
      </c>
      <c r="D354" s="263">
        <v>2</v>
      </c>
      <c r="E354" s="171">
        <v>45593</v>
      </c>
      <c r="F354" s="264">
        <v>3090506.6666666665</v>
      </c>
      <c r="G354" s="268">
        <v>3640880</v>
      </c>
      <c r="H354" s="264"/>
      <c r="I354" s="264">
        <v>4</v>
      </c>
      <c r="J354" s="272"/>
      <c r="K354" s="264"/>
      <c r="L354" s="264"/>
      <c r="M354" s="275"/>
    </row>
    <row r="355" spans="2:13" ht="16.5" customHeight="1">
      <c r="B355" s="265" t="s">
        <v>2038</v>
      </c>
      <c r="C355" s="263" t="s">
        <v>754</v>
      </c>
      <c r="D355" s="263">
        <v>2</v>
      </c>
      <c r="E355" s="171">
        <v>45812</v>
      </c>
      <c r="F355" s="264">
        <v>5633340</v>
      </c>
      <c r="G355" s="268">
        <v>3256540</v>
      </c>
      <c r="H355" s="264"/>
      <c r="I355" s="264">
        <v>1</v>
      </c>
      <c r="J355" s="272"/>
      <c r="K355" s="264"/>
      <c r="L355" s="264"/>
      <c r="M355" s="275"/>
    </row>
    <row r="356" spans="2:13" ht="16.5" customHeight="1">
      <c r="B356" s="265" t="s">
        <v>2039</v>
      </c>
      <c r="C356" s="263" t="s">
        <v>755</v>
      </c>
      <c r="D356" s="263">
        <v>1</v>
      </c>
      <c r="E356" s="171">
        <v>45839</v>
      </c>
      <c r="F356" s="264">
        <v>3333340</v>
      </c>
      <c r="G356" s="268">
        <v>1680370</v>
      </c>
      <c r="H356" s="264"/>
      <c r="I356" s="264">
        <v>1</v>
      </c>
      <c r="J356" s="272"/>
      <c r="K356" s="264"/>
      <c r="L356" s="264"/>
      <c r="M356" s="275"/>
    </row>
    <row r="357" spans="2:13" ht="16.5" customHeight="1">
      <c r="B357" s="265" t="s">
        <v>2040</v>
      </c>
      <c r="C357" s="263" t="s">
        <v>756</v>
      </c>
      <c r="D357" s="263">
        <v>1</v>
      </c>
      <c r="E357" s="171">
        <v>45817</v>
      </c>
      <c r="F357" s="264">
        <v>3750000</v>
      </c>
      <c r="G357" s="268">
        <v>2116440</v>
      </c>
      <c r="H357" s="264"/>
      <c r="I357" s="264">
        <v>1</v>
      </c>
      <c r="J357" s="272"/>
      <c r="K357" s="264"/>
      <c r="L357" s="264"/>
      <c r="M357" s="275"/>
    </row>
    <row r="358" spans="2:13" ht="16.5" customHeight="1">
      <c r="B358" s="265" t="s">
        <v>2041</v>
      </c>
      <c r="C358" s="263" t="s">
        <v>757</v>
      </c>
      <c r="D358" s="263">
        <v>2</v>
      </c>
      <c r="E358" s="171">
        <v>45859</v>
      </c>
      <c r="F358" s="264">
        <v>6333340</v>
      </c>
      <c r="G358" s="268">
        <v>2845670</v>
      </c>
      <c r="H358" s="264"/>
      <c r="I358" s="264">
        <v>1</v>
      </c>
      <c r="J358" s="272"/>
      <c r="K358" s="264"/>
      <c r="L358" s="264"/>
      <c r="M358" s="275"/>
    </row>
    <row r="359" spans="2:13" ht="16.5" customHeight="1">
      <c r="B359" s="265" t="s">
        <v>2042</v>
      </c>
      <c r="C359" s="263" t="s">
        <v>758</v>
      </c>
      <c r="D359" s="263">
        <v>1</v>
      </c>
      <c r="E359" s="171">
        <v>45839</v>
      </c>
      <c r="F359" s="264">
        <v>6500000</v>
      </c>
      <c r="G359" s="268">
        <v>3276720</v>
      </c>
      <c r="H359" s="264"/>
      <c r="I359" s="264">
        <v>1</v>
      </c>
      <c r="J359" s="272"/>
      <c r="K359" s="264"/>
      <c r="L359" s="264"/>
      <c r="M359" s="275"/>
    </row>
    <row r="360" spans="2:13" ht="16.5" customHeight="1">
      <c r="B360" s="265" t="s">
        <v>2043</v>
      </c>
      <c r="C360" s="263" t="s">
        <v>759</v>
      </c>
      <c r="D360" s="263">
        <v>2</v>
      </c>
      <c r="E360" s="171">
        <v>45817</v>
      </c>
      <c r="F360" s="264">
        <v>3750000</v>
      </c>
      <c r="G360" s="268">
        <v>2116440</v>
      </c>
      <c r="H360" s="264"/>
      <c r="I360" s="264">
        <v>1</v>
      </c>
      <c r="J360" s="272"/>
      <c r="K360" s="264"/>
      <c r="L360" s="264"/>
      <c r="M360" s="275"/>
    </row>
    <row r="361" spans="2:13" ht="16.5" customHeight="1">
      <c r="B361" s="265" t="s">
        <v>2044</v>
      </c>
      <c r="C361" s="263" t="s">
        <v>760</v>
      </c>
      <c r="D361" s="263">
        <v>2</v>
      </c>
      <c r="E361" s="171">
        <v>45817</v>
      </c>
      <c r="F361" s="264">
        <v>3000000</v>
      </c>
      <c r="G361" s="268">
        <v>1693160</v>
      </c>
      <c r="H361" s="264"/>
      <c r="I361" s="264">
        <v>1</v>
      </c>
      <c r="J361" s="272"/>
      <c r="K361" s="264"/>
      <c r="L361" s="264"/>
      <c r="M361" s="275"/>
    </row>
    <row r="362" spans="2:13" ht="16.5" customHeight="1">
      <c r="B362" s="265" t="s">
        <v>2045</v>
      </c>
      <c r="C362" s="263" t="s">
        <v>761</v>
      </c>
      <c r="D362" s="263">
        <v>1</v>
      </c>
      <c r="E362" s="171">
        <v>45833</v>
      </c>
      <c r="F362" s="264">
        <v>7216670</v>
      </c>
      <c r="G362" s="268">
        <v>3756630</v>
      </c>
      <c r="H362" s="264"/>
      <c r="I362" s="264">
        <v>1</v>
      </c>
      <c r="J362" s="272"/>
      <c r="K362" s="264"/>
      <c r="L362" s="264"/>
      <c r="M362" s="275"/>
    </row>
    <row r="363" spans="2:13" ht="16.5" customHeight="1">
      <c r="B363" s="265" t="s">
        <v>2046</v>
      </c>
      <c r="C363" s="263" t="s">
        <v>762</v>
      </c>
      <c r="D363" s="263">
        <v>1</v>
      </c>
      <c r="E363" s="171">
        <v>45950</v>
      </c>
      <c r="F363" s="264">
        <v>3333340</v>
      </c>
      <c r="G363" s="268">
        <v>666670</v>
      </c>
      <c r="H363" s="264"/>
      <c r="I363" s="264">
        <v>1</v>
      </c>
      <c r="J363" s="272"/>
      <c r="K363" s="264"/>
      <c r="L363" s="264"/>
      <c r="M363" s="275"/>
    </row>
    <row r="364" spans="2:13" ht="16.5" customHeight="1">
      <c r="B364" s="265" t="s">
        <v>2047</v>
      </c>
      <c r="C364" s="263" t="s">
        <v>763</v>
      </c>
      <c r="D364" s="263">
        <v>2</v>
      </c>
      <c r="E364" s="171">
        <v>45929</v>
      </c>
      <c r="F364" s="264">
        <v>3151860</v>
      </c>
      <c r="G364" s="268">
        <v>811720</v>
      </c>
      <c r="H364" s="264"/>
      <c r="I364" s="264">
        <v>1</v>
      </c>
      <c r="J364" s="272"/>
      <c r="K364" s="264"/>
      <c r="L364" s="264"/>
      <c r="M364" s="275"/>
    </row>
    <row r="365" spans="2:13" ht="16.5" customHeight="1">
      <c r="B365" s="265" t="s">
        <v>2048</v>
      </c>
      <c r="C365" s="263" t="s">
        <v>764</v>
      </c>
      <c r="D365" s="263">
        <v>1</v>
      </c>
      <c r="E365" s="171">
        <v>45859</v>
      </c>
      <c r="F365" s="264">
        <v>3291566.6666666665</v>
      </c>
      <c r="G365" s="268">
        <v>1478960</v>
      </c>
      <c r="H365" s="264"/>
      <c r="I365" s="264">
        <v>1</v>
      </c>
      <c r="J365" s="272"/>
      <c r="K365" s="264"/>
      <c r="L365" s="264"/>
      <c r="M365" s="275"/>
    </row>
    <row r="366" spans="2:13" ht="16.5" customHeight="1">
      <c r="B366" s="265" t="s">
        <v>2049</v>
      </c>
      <c r="C366" s="263" t="s">
        <v>765</v>
      </c>
      <c r="D366" s="263">
        <v>1</v>
      </c>
      <c r="E366" s="171">
        <v>45917</v>
      </c>
      <c r="F366" s="264">
        <v>3415160</v>
      </c>
      <c r="G366" s="268">
        <v>991800</v>
      </c>
      <c r="H366" s="264"/>
      <c r="I366" s="264">
        <v>1</v>
      </c>
      <c r="J366" s="272"/>
      <c r="K366" s="264"/>
      <c r="L366" s="264"/>
      <c r="M366" s="275"/>
    </row>
    <row r="367" spans="2:13" ht="16.5" customHeight="1">
      <c r="B367" s="265" t="s">
        <v>2050</v>
      </c>
      <c r="C367" s="263" t="s">
        <v>766</v>
      </c>
      <c r="D367" s="263">
        <v>1</v>
      </c>
      <c r="E367" s="171">
        <v>45810</v>
      </c>
      <c r="F367" s="264">
        <v>6383340</v>
      </c>
      <c r="G367" s="268">
        <v>3725080</v>
      </c>
      <c r="H367" s="264"/>
      <c r="I367" s="264">
        <v>1</v>
      </c>
      <c r="J367" s="272"/>
      <c r="K367" s="264"/>
      <c r="L367" s="264"/>
      <c r="M367" s="275"/>
    </row>
    <row r="368" spans="2:13" ht="16.5" customHeight="1">
      <c r="B368" s="265" t="s">
        <v>2051</v>
      </c>
      <c r="C368" s="263" t="s">
        <v>767</v>
      </c>
      <c r="D368" s="263">
        <v>2</v>
      </c>
      <c r="E368" s="171">
        <v>45873</v>
      </c>
      <c r="F368" s="264">
        <v>3916670</v>
      </c>
      <c r="G368" s="268">
        <v>1609600</v>
      </c>
      <c r="H368" s="264"/>
      <c r="I368" s="264">
        <v>1</v>
      </c>
      <c r="J368" s="272"/>
      <c r="K368" s="264"/>
      <c r="L368" s="264"/>
      <c r="M368" s="275"/>
    </row>
    <row r="369" spans="2:13" ht="16.5" customHeight="1">
      <c r="B369" s="265" t="s">
        <v>2052</v>
      </c>
      <c r="C369" s="263" t="s">
        <v>768</v>
      </c>
      <c r="D369" s="263">
        <v>1</v>
      </c>
      <c r="E369" s="171">
        <v>45689</v>
      </c>
      <c r="F369" s="264">
        <v>8250000</v>
      </c>
      <c r="G369" s="268">
        <v>7549320</v>
      </c>
      <c r="H369" s="264"/>
      <c r="I369" s="264">
        <v>1</v>
      </c>
      <c r="J369" s="272"/>
      <c r="K369" s="264"/>
      <c r="L369" s="264"/>
      <c r="M369" s="275"/>
    </row>
    <row r="370" spans="2:13" ht="16.5" customHeight="1">
      <c r="B370" s="265" t="s">
        <v>2053</v>
      </c>
      <c r="C370" s="263" t="s">
        <v>769</v>
      </c>
      <c r="D370" s="263">
        <v>2</v>
      </c>
      <c r="E370" s="171">
        <v>45670</v>
      </c>
      <c r="F370" s="264">
        <v>4585920</v>
      </c>
      <c r="G370" s="268">
        <v>4435160</v>
      </c>
      <c r="H370" s="264"/>
      <c r="I370" s="264">
        <v>1</v>
      </c>
      <c r="J370" s="272"/>
      <c r="K370" s="264"/>
      <c r="L370" s="264"/>
      <c r="M370" s="275"/>
    </row>
    <row r="371" spans="2:13" ht="16.5" customHeight="1">
      <c r="B371" s="265" t="s">
        <v>2054</v>
      </c>
      <c r="C371" s="263" t="s">
        <v>770</v>
      </c>
      <c r="D371" s="263">
        <v>2</v>
      </c>
      <c r="E371" s="171">
        <v>45804</v>
      </c>
      <c r="F371" s="264">
        <v>5250000</v>
      </c>
      <c r="G371" s="268">
        <v>3150000</v>
      </c>
      <c r="H371" s="264"/>
      <c r="I371" s="264">
        <v>1</v>
      </c>
      <c r="J371" s="272"/>
      <c r="K371" s="264"/>
      <c r="L371" s="264"/>
      <c r="M371" s="275"/>
    </row>
    <row r="372" spans="2:13" ht="16.5" customHeight="1">
      <c r="B372" s="265" t="s">
        <v>2055</v>
      </c>
      <c r="C372" s="263" t="s">
        <v>771</v>
      </c>
      <c r="D372" s="263">
        <v>2</v>
      </c>
      <c r="E372" s="171">
        <v>45894</v>
      </c>
      <c r="F372" s="264">
        <v>4121873.3333333335</v>
      </c>
      <c r="G372" s="268">
        <v>1456780</v>
      </c>
      <c r="H372" s="264"/>
      <c r="I372" s="264">
        <v>1</v>
      </c>
      <c r="J372" s="272"/>
      <c r="K372" s="264"/>
      <c r="L372" s="264"/>
      <c r="M372" s="275"/>
    </row>
    <row r="373" spans="2:13" ht="16.5" customHeight="1">
      <c r="B373" s="265" t="s">
        <v>2056</v>
      </c>
      <c r="C373" s="263" t="s">
        <v>772</v>
      </c>
      <c r="D373" s="263">
        <v>2</v>
      </c>
      <c r="E373" s="171">
        <v>45810</v>
      </c>
      <c r="F373" s="264">
        <v>4333340</v>
      </c>
      <c r="G373" s="268">
        <v>2528780</v>
      </c>
      <c r="H373" s="264"/>
      <c r="I373" s="264">
        <v>1</v>
      </c>
      <c r="J373" s="272"/>
      <c r="K373" s="264"/>
      <c r="L373" s="264"/>
      <c r="M373" s="275"/>
    </row>
    <row r="374" spans="2:13" ht="16.5" customHeight="1">
      <c r="B374" s="265" t="s">
        <v>2057</v>
      </c>
      <c r="C374" s="263" t="s">
        <v>773</v>
      </c>
      <c r="D374" s="263">
        <v>2</v>
      </c>
      <c r="E374" s="171">
        <v>45663</v>
      </c>
      <c r="F374" s="264">
        <v>3533340</v>
      </c>
      <c r="G374" s="268">
        <v>3484940</v>
      </c>
      <c r="H374" s="264"/>
      <c r="I374" s="264">
        <v>1</v>
      </c>
      <c r="J374" s="272"/>
      <c r="K374" s="264"/>
      <c r="L374" s="264"/>
      <c r="M374" s="275"/>
    </row>
    <row r="375" spans="2:13" ht="16.5" customHeight="1">
      <c r="B375" s="265" t="s">
        <v>2058</v>
      </c>
      <c r="C375" s="263" t="s">
        <v>774</v>
      </c>
      <c r="D375" s="263">
        <v>2</v>
      </c>
      <c r="E375" s="171">
        <v>45831</v>
      </c>
      <c r="F375" s="264">
        <v>3167796.6666666665</v>
      </c>
      <c r="G375" s="268">
        <v>1666350</v>
      </c>
      <c r="H375" s="264"/>
      <c r="I375" s="264">
        <v>1</v>
      </c>
      <c r="J375" s="272"/>
      <c r="K375" s="264"/>
      <c r="L375" s="264"/>
      <c r="M375" s="275"/>
    </row>
    <row r="376" spans="2:13" ht="16.5" customHeight="1">
      <c r="B376" s="265" t="s">
        <v>2059</v>
      </c>
      <c r="C376" s="263" t="s">
        <v>775</v>
      </c>
      <c r="D376" s="263">
        <v>1</v>
      </c>
      <c r="E376" s="171">
        <v>45824</v>
      </c>
      <c r="F376" s="264">
        <v>5083340</v>
      </c>
      <c r="G376" s="268">
        <v>2771470</v>
      </c>
      <c r="H376" s="264"/>
      <c r="I376" s="264">
        <v>1</v>
      </c>
      <c r="J376" s="272"/>
      <c r="K376" s="264"/>
      <c r="L376" s="264"/>
      <c r="M376" s="275"/>
    </row>
    <row r="377" spans="2:13" ht="16.5" customHeight="1">
      <c r="B377" s="265" t="s">
        <v>2060</v>
      </c>
      <c r="C377" s="263" t="s">
        <v>776</v>
      </c>
      <c r="D377" s="263">
        <v>2</v>
      </c>
      <c r="E377" s="171">
        <v>45924</v>
      </c>
      <c r="F377" s="264">
        <v>4131490</v>
      </c>
      <c r="G377" s="268">
        <v>1120600</v>
      </c>
      <c r="H377" s="264"/>
      <c r="I377" s="264">
        <v>1</v>
      </c>
      <c r="J377" s="272"/>
      <c r="K377" s="264"/>
      <c r="L377" s="264"/>
      <c r="M377" s="275"/>
    </row>
    <row r="378" spans="2:13" ht="16.5" customHeight="1">
      <c r="B378" s="265" t="s">
        <v>2061</v>
      </c>
      <c r="C378" s="263" t="s">
        <v>560</v>
      </c>
      <c r="D378" s="263">
        <v>1</v>
      </c>
      <c r="E378" s="171">
        <v>45789</v>
      </c>
      <c r="F378" s="264">
        <v>4776860</v>
      </c>
      <c r="G378" s="268">
        <v>3062430</v>
      </c>
      <c r="H378" s="264"/>
      <c r="I378" s="264">
        <v>1</v>
      </c>
      <c r="J378" s="272"/>
      <c r="K378" s="264"/>
      <c r="L378" s="264"/>
      <c r="M378" s="275"/>
    </row>
    <row r="379" spans="2:13" ht="16.5" customHeight="1">
      <c r="B379" s="265" t="s">
        <v>2062</v>
      </c>
      <c r="C379" s="263" t="s">
        <v>777</v>
      </c>
      <c r="D379" s="263">
        <v>1</v>
      </c>
      <c r="E379" s="171">
        <v>45859</v>
      </c>
      <c r="F379" s="264">
        <v>4000000</v>
      </c>
      <c r="G379" s="268">
        <v>1797270</v>
      </c>
      <c r="H379" s="264"/>
      <c r="I379" s="264">
        <v>1</v>
      </c>
      <c r="J379" s="272"/>
      <c r="K379" s="264"/>
      <c r="L379" s="264"/>
      <c r="M379" s="275"/>
    </row>
    <row r="380" spans="2:13" ht="16.5" customHeight="1">
      <c r="B380" s="265" t="s">
        <v>2063</v>
      </c>
      <c r="C380" s="263" t="s">
        <v>778</v>
      </c>
      <c r="D380" s="263">
        <v>1</v>
      </c>
      <c r="E380" s="171">
        <v>45797</v>
      </c>
      <c r="F380" s="264">
        <v>4833340</v>
      </c>
      <c r="G380" s="268">
        <v>2992700</v>
      </c>
      <c r="H380" s="264"/>
      <c r="I380" s="264">
        <v>1</v>
      </c>
      <c r="J380" s="272"/>
      <c r="K380" s="264"/>
      <c r="L380" s="264"/>
      <c r="M380" s="275"/>
    </row>
    <row r="381" spans="2:13" ht="16.5" customHeight="1">
      <c r="B381" s="265" t="s">
        <v>2064</v>
      </c>
      <c r="C381" s="263" t="s">
        <v>779</v>
      </c>
      <c r="D381" s="263">
        <v>1</v>
      </c>
      <c r="E381" s="171">
        <v>45740</v>
      </c>
      <c r="F381" s="264">
        <v>8383340</v>
      </c>
      <c r="G381" s="268">
        <v>6499960</v>
      </c>
      <c r="H381" s="264"/>
      <c r="I381" s="264">
        <v>1</v>
      </c>
      <c r="J381" s="272"/>
      <c r="K381" s="264"/>
      <c r="L381" s="264"/>
      <c r="M381" s="275"/>
    </row>
    <row r="382" spans="2:13" ht="16.5" customHeight="1">
      <c r="B382" s="265" t="s">
        <v>2065</v>
      </c>
      <c r="C382" s="263" t="s">
        <v>780</v>
      </c>
      <c r="D382" s="263">
        <v>1</v>
      </c>
      <c r="E382" s="171">
        <v>45784</v>
      </c>
      <c r="F382" s="264">
        <v>4541670</v>
      </c>
      <c r="G382" s="268">
        <v>2973870</v>
      </c>
      <c r="H382" s="264"/>
      <c r="I382" s="264">
        <v>1</v>
      </c>
      <c r="J382" s="272"/>
      <c r="K382" s="264"/>
      <c r="L382" s="264"/>
      <c r="M382" s="275"/>
    </row>
    <row r="383" spans="2:13" ht="16.5" customHeight="1">
      <c r="B383" s="265" t="s">
        <v>2066</v>
      </c>
      <c r="C383" s="263" t="s">
        <v>781</v>
      </c>
      <c r="D383" s="263">
        <v>1</v>
      </c>
      <c r="E383" s="171">
        <v>45887</v>
      </c>
      <c r="F383" s="264">
        <v>3833340</v>
      </c>
      <c r="G383" s="268">
        <v>1428320</v>
      </c>
      <c r="H383" s="264"/>
      <c r="I383" s="264">
        <v>1</v>
      </c>
      <c r="J383" s="272"/>
      <c r="K383" s="264"/>
      <c r="L383" s="264"/>
      <c r="M383" s="275"/>
    </row>
    <row r="384" spans="2:13" ht="16.5" customHeight="1">
      <c r="B384" s="265" t="s">
        <v>2067</v>
      </c>
      <c r="C384" s="263" t="s">
        <v>782</v>
      </c>
      <c r="D384" s="263">
        <v>1</v>
      </c>
      <c r="E384" s="171">
        <v>45894</v>
      </c>
      <c r="F384" s="264">
        <v>10663093.333333334</v>
      </c>
      <c r="G384" s="268">
        <v>3768610</v>
      </c>
      <c r="H384" s="264"/>
      <c r="I384" s="264">
        <v>1</v>
      </c>
      <c r="J384" s="272"/>
      <c r="K384" s="264"/>
      <c r="L384" s="264"/>
      <c r="M384" s="275"/>
    </row>
    <row r="385" spans="2:13" ht="16.5" customHeight="1">
      <c r="B385" s="265" t="s">
        <v>2068</v>
      </c>
      <c r="C385" s="263" t="s">
        <v>783</v>
      </c>
      <c r="D385" s="263">
        <v>1</v>
      </c>
      <c r="E385" s="171">
        <v>45929</v>
      </c>
      <c r="F385" s="264">
        <v>5111110</v>
      </c>
      <c r="G385" s="268">
        <v>1316290</v>
      </c>
      <c r="H385" s="264"/>
      <c r="I385" s="264">
        <v>1</v>
      </c>
      <c r="J385" s="272"/>
      <c r="K385" s="264"/>
      <c r="L385" s="264"/>
      <c r="M385" s="275"/>
    </row>
    <row r="386" spans="2:13" ht="16.5" customHeight="1">
      <c r="B386" s="265" t="s">
        <v>2069</v>
      </c>
      <c r="C386" s="263" t="s">
        <v>784</v>
      </c>
      <c r="D386" s="263">
        <v>1</v>
      </c>
      <c r="E386" s="171">
        <v>45943</v>
      </c>
      <c r="F386" s="264">
        <v>5666670</v>
      </c>
      <c r="G386" s="268">
        <v>1242010</v>
      </c>
      <c r="H386" s="264"/>
      <c r="I386" s="264">
        <v>1</v>
      </c>
      <c r="J386" s="272"/>
      <c r="K386" s="264"/>
      <c r="L386" s="264"/>
      <c r="M386" s="275"/>
    </row>
    <row r="387" spans="2:13" ht="16.5" customHeight="1">
      <c r="B387" s="265" t="s">
        <v>2070</v>
      </c>
      <c r="C387" s="263" t="s">
        <v>785</v>
      </c>
      <c r="D387" s="263">
        <v>1</v>
      </c>
      <c r="E387" s="171">
        <v>45789</v>
      </c>
      <c r="F387" s="264">
        <v>7533340</v>
      </c>
      <c r="G387" s="268">
        <v>4829600</v>
      </c>
      <c r="H387" s="264"/>
      <c r="I387" s="264">
        <v>1</v>
      </c>
      <c r="J387" s="272"/>
      <c r="K387" s="264"/>
      <c r="L387" s="264"/>
      <c r="M387" s="275"/>
    </row>
    <row r="388" spans="2:13" ht="16.5" customHeight="1">
      <c r="B388" s="265" t="s">
        <v>2071</v>
      </c>
      <c r="C388" s="263" t="s">
        <v>786</v>
      </c>
      <c r="D388" s="263">
        <v>1</v>
      </c>
      <c r="E388" s="171">
        <v>45943</v>
      </c>
      <c r="F388" s="264">
        <v>9083333.333333334</v>
      </c>
      <c r="G388" s="268">
        <v>1990870</v>
      </c>
      <c r="H388" s="264"/>
      <c r="I388" s="264">
        <v>1</v>
      </c>
      <c r="J388" s="272"/>
      <c r="K388" s="264"/>
      <c r="L388" s="264"/>
      <c r="M388" s="275"/>
    </row>
    <row r="389" spans="2:13" ht="16.5" customHeight="1">
      <c r="B389" s="265" t="s">
        <v>2072</v>
      </c>
      <c r="C389" s="263" t="s">
        <v>787</v>
      </c>
      <c r="D389" s="263">
        <v>1</v>
      </c>
      <c r="E389" s="171">
        <v>45922</v>
      </c>
      <c r="F389" s="264">
        <v>4950003.333333333</v>
      </c>
      <c r="G389" s="268">
        <v>1369730</v>
      </c>
      <c r="H389" s="264"/>
      <c r="I389" s="264">
        <v>1</v>
      </c>
      <c r="J389" s="272"/>
      <c r="K389" s="264"/>
      <c r="L389" s="264"/>
      <c r="M389" s="275"/>
    </row>
    <row r="390" spans="2:13" ht="16.5" customHeight="1">
      <c r="B390" s="265" t="s">
        <v>2073</v>
      </c>
      <c r="C390" s="263" t="s">
        <v>788</v>
      </c>
      <c r="D390" s="263">
        <v>1</v>
      </c>
      <c r="E390" s="171">
        <v>45658</v>
      </c>
      <c r="F390" s="264">
        <v>29166670</v>
      </c>
      <c r="G390" s="268">
        <v>35000010</v>
      </c>
      <c r="H390" s="264"/>
      <c r="I390" s="264">
        <v>3</v>
      </c>
      <c r="J390" s="272"/>
      <c r="K390" s="264"/>
      <c r="L390" s="264"/>
      <c r="M390" s="275">
        <v>1.2</v>
      </c>
    </row>
    <row r="391" spans="2:13" ht="16.5" customHeight="1">
      <c r="B391" s="265" t="s">
        <v>2074</v>
      </c>
      <c r="C391" s="263" t="s">
        <v>789</v>
      </c>
      <c r="D391" s="263">
        <v>1</v>
      </c>
      <c r="E391" s="171">
        <v>45761</v>
      </c>
      <c r="F391" s="264">
        <v>19166670</v>
      </c>
      <c r="G391" s="268">
        <v>16509600</v>
      </c>
      <c r="H391" s="264"/>
      <c r="I391" s="264">
        <v>3</v>
      </c>
      <c r="J391" s="272"/>
      <c r="K391" s="264"/>
      <c r="L391" s="264"/>
      <c r="M391" s="275">
        <v>1.2</v>
      </c>
    </row>
    <row r="392" spans="2:13" ht="16.5" customHeight="1">
      <c r="B392" s="265" t="s">
        <v>2075</v>
      </c>
      <c r="C392" s="263" t="s">
        <v>790</v>
      </c>
      <c r="D392" s="263">
        <v>1</v>
      </c>
      <c r="E392" s="171">
        <v>45943</v>
      </c>
      <c r="F392" s="264">
        <v>21666670</v>
      </c>
      <c r="G392" s="268">
        <v>5698640</v>
      </c>
      <c r="H392" s="264"/>
      <c r="I392" s="264">
        <v>3</v>
      </c>
      <c r="J392" s="272"/>
      <c r="K392" s="264"/>
      <c r="L392" s="264"/>
      <c r="M392" s="275">
        <v>1.2</v>
      </c>
    </row>
    <row r="393" spans="2:13" ht="16.5" customHeight="1">
      <c r="B393" s="265" t="s">
        <v>2076</v>
      </c>
      <c r="C393" s="263" t="s">
        <v>791</v>
      </c>
      <c r="D393" s="263">
        <v>1</v>
      </c>
      <c r="E393" s="171">
        <v>45870</v>
      </c>
      <c r="F393" s="264">
        <v>10833340</v>
      </c>
      <c r="G393" s="268">
        <v>5449320</v>
      </c>
      <c r="H393" s="264"/>
      <c r="I393" s="264">
        <v>3</v>
      </c>
      <c r="J393" s="272"/>
      <c r="K393" s="264"/>
      <c r="L393" s="264"/>
      <c r="M393" s="275">
        <v>1.2</v>
      </c>
    </row>
    <row r="394" spans="2:13" ht="16.5" customHeight="1">
      <c r="B394" s="265" t="s">
        <v>2077</v>
      </c>
      <c r="C394" s="263" t="s">
        <v>792</v>
      </c>
      <c r="D394" s="263">
        <v>2</v>
      </c>
      <c r="E394" s="171">
        <v>45658</v>
      </c>
      <c r="F394" s="264">
        <v>12500000</v>
      </c>
      <c r="G394" s="268">
        <v>15000000</v>
      </c>
      <c r="H394" s="264"/>
      <c r="I394" s="264">
        <v>3</v>
      </c>
      <c r="J394" s="272"/>
      <c r="K394" s="264"/>
      <c r="L394" s="264"/>
      <c r="M394" s="275">
        <v>1.2</v>
      </c>
    </row>
    <row r="395" spans="2:13" ht="16.5" customHeight="1">
      <c r="B395" s="265" t="s">
        <v>2078</v>
      </c>
      <c r="C395" s="263" t="s">
        <v>793</v>
      </c>
      <c r="D395" s="263">
        <v>2</v>
      </c>
      <c r="E395" s="171">
        <v>45784</v>
      </c>
      <c r="F395" s="264">
        <v>2604170</v>
      </c>
      <c r="G395" s="268">
        <v>1705200</v>
      </c>
      <c r="H395" s="264"/>
      <c r="I395" s="264">
        <v>4</v>
      </c>
      <c r="J395" s="272"/>
      <c r="K395" s="264"/>
      <c r="L395" s="264"/>
      <c r="M395" s="275"/>
    </row>
    <row r="396" spans="2:13" ht="16.5" customHeight="1">
      <c r="B396" s="265" t="s">
        <v>2079</v>
      </c>
      <c r="C396" s="263" t="s">
        <v>794</v>
      </c>
      <c r="D396" s="263">
        <v>2</v>
      </c>
      <c r="E396" s="171">
        <v>45887</v>
      </c>
      <c r="F396" s="264">
        <v>2833340</v>
      </c>
      <c r="G396" s="268">
        <v>1055720</v>
      </c>
      <c r="H396" s="264"/>
      <c r="I396" s="264">
        <v>4</v>
      </c>
      <c r="J396" s="272"/>
      <c r="K396" s="264"/>
      <c r="L396" s="264"/>
      <c r="M396" s="275"/>
    </row>
    <row r="397" spans="2:13" ht="16.5" customHeight="1">
      <c r="B397" s="265" t="s">
        <v>2080</v>
      </c>
      <c r="C397" s="263" t="s">
        <v>554</v>
      </c>
      <c r="D397" s="263">
        <v>1</v>
      </c>
      <c r="E397" s="171">
        <v>45915</v>
      </c>
      <c r="F397" s="264">
        <v>3585043.3333333335</v>
      </c>
      <c r="G397" s="268">
        <v>1060780</v>
      </c>
      <c r="H397" s="264"/>
      <c r="I397" s="264">
        <v>4</v>
      </c>
      <c r="J397" s="272"/>
      <c r="K397" s="264"/>
      <c r="L397" s="264"/>
      <c r="M397" s="275"/>
    </row>
    <row r="398" spans="2:13" ht="16.5" customHeight="1">
      <c r="B398" s="265" t="s">
        <v>2081</v>
      </c>
      <c r="C398" s="263" t="s">
        <v>795</v>
      </c>
      <c r="D398" s="263">
        <v>2</v>
      </c>
      <c r="E398" s="171">
        <v>45839</v>
      </c>
      <c r="F398" s="264">
        <v>3000000</v>
      </c>
      <c r="G398" s="268">
        <v>1512330</v>
      </c>
      <c r="H398" s="264"/>
      <c r="I398" s="264">
        <v>4</v>
      </c>
      <c r="J398" s="272"/>
      <c r="K398" s="264"/>
      <c r="L398" s="264"/>
      <c r="M398" s="275"/>
    </row>
    <row r="399" spans="2:13" ht="16.5" customHeight="1">
      <c r="B399" s="265" t="s">
        <v>2082</v>
      </c>
      <c r="C399" s="263" t="s">
        <v>796</v>
      </c>
      <c r="D399" s="263">
        <v>2</v>
      </c>
      <c r="E399" s="171">
        <v>45845</v>
      </c>
      <c r="F399" s="264">
        <v>3083340</v>
      </c>
      <c r="G399" s="268">
        <v>1503660</v>
      </c>
      <c r="H399" s="264"/>
      <c r="I399" s="264">
        <v>4</v>
      </c>
      <c r="J399" s="272"/>
      <c r="K399" s="264"/>
      <c r="L399" s="264"/>
      <c r="M399" s="275"/>
    </row>
    <row r="400" spans="2:13" ht="16.5" customHeight="1">
      <c r="B400" s="265" t="s">
        <v>2083</v>
      </c>
      <c r="C400" s="263" t="s">
        <v>797</v>
      </c>
      <c r="D400" s="263">
        <v>2</v>
      </c>
      <c r="E400" s="171">
        <v>45720</v>
      </c>
      <c r="F400" s="264">
        <v>3134943.3333333335</v>
      </c>
      <c r="G400" s="268">
        <v>2602440</v>
      </c>
      <c r="H400" s="264"/>
      <c r="I400" s="264">
        <v>4</v>
      </c>
      <c r="J400" s="272"/>
      <c r="K400" s="264"/>
      <c r="L400" s="264"/>
      <c r="M400" s="275"/>
    </row>
    <row r="401" spans="2:13" ht="16.5" customHeight="1">
      <c r="B401" s="265" t="s">
        <v>2084</v>
      </c>
      <c r="C401" s="263" t="s">
        <v>798</v>
      </c>
      <c r="D401" s="263">
        <v>2</v>
      </c>
      <c r="E401" s="171">
        <v>45720</v>
      </c>
      <c r="F401" s="264">
        <v>2450000</v>
      </c>
      <c r="G401" s="268">
        <v>2033840</v>
      </c>
      <c r="H401" s="264"/>
      <c r="I401" s="264">
        <v>4</v>
      </c>
      <c r="J401" s="272"/>
      <c r="K401" s="264"/>
      <c r="L401" s="264"/>
      <c r="M401" s="275"/>
    </row>
    <row r="402" spans="2:13" ht="16.5" customHeight="1">
      <c r="B402" s="265" t="s">
        <v>2085</v>
      </c>
      <c r="C402" s="263" t="s">
        <v>799</v>
      </c>
      <c r="D402" s="263">
        <v>2</v>
      </c>
      <c r="E402" s="171">
        <v>45733</v>
      </c>
      <c r="F402" s="264">
        <v>2600616</v>
      </c>
      <c r="G402" s="268">
        <v>2066250</v>
      </c>
      <c r="H402" s="264"/>
      <c r="I402" s="264">
        <v>4</v>
      </c>
      <c r="J402" s="272"/>
      <c r="K402" s="264"/>
      <c r="L402" s="264"/>
      <c r="M402" s="275"/>
    </row>
    <row r="403" spans="2:13" ht="16.5" customHeight="1">
      <c r="B403" s="265" t="s">
        <v>2086</v>
      </c>
      <c r="C403" s="263" t="s">
        <v>800</v>
      </c>
      <c r="D403" s="263">
        <v>2</v>
      </c>
      <c r="E403" s="171">
        <v>45733</v>
      </c>
      <c r="F403" s="264">
        <v>2681372</v>
      </c>
      <c r="G403" s="268">
        <v>2130410</v>
      </c>
      <c r="H403" s="264"/>
      <c r="I403" s="264">
        <v>4</v>
      </c>
      <c r="J403" s="272"/>
      <c r="K403" s="264"/>
      <c r="L403" s="264"/>
      <c r="M403" s="275"/>
    </row>
    <row r="404" spans="2:13" ht="16.5" customHeight="1">
      <c r="B404" s="265" t="s">
        <v>2087</v>
      </c>
      <c r="C404" s="263" t="s">
        <v>801</v>
      </c>
      <c r="D404" s="263">
        <v>2</v>
      </c>
      <c r="E404" s="171">
        <v>45777</v>
      </c>
      <c r="F404" s="264">
        <v>3063967.3333333335</v>
      </c>
      <c r="G404" s="268">
        <v>2065040</v>
      </c>
      <c r="H404" s="264"/>
      <c r="I404" s="264">
        <v>4</v>
      </c>
      <c r="J404" s="272"/>
      <c r="K404" s="264"/>
      <c r="L404" s="264"/>
      <c r="M404" s="275"/>
    </row>
    <row r="405" spans="2:13" ht="16.5" customHeight="1">
      <c r="B405" s="265" t="s">
        <v>2088</v>
      </c>
      <c r="C405" s="263" t="s">
        <v>802</v>
      </c>
      <c r="D405" s="263">
        <v>2</v>
      </c>
      <c r="E405" s="171">
        <v>45777</v>
      </c>
      <c r="F405" s="264">
        <v>2540250</v>
      </c>
      <c r="G405" s="268">
        <v>1712060</v>
      </c>
      <c r="H405" s="264"/>
      <c r="I405" s="264">
        <v>4</v>
      </c>
      <c r="J405" s="272"/>
      <c r="K405" s="264"/>
      <c r="L405" s="264"/>
      <c r="M405" s="275"/>
    </row>
    <row r="406" spans="2:13" ht="16.5" customHeight="1">
      <c r="B406" s="265" t="s">
        <v>2089</v>
      </c>
      <c r="C406" s="263" t="s">
        <v>803</v>
      </c>
      <c r="D406" s="263">
        <v>2</v>
      </c>
      <c r="E406" s="171">
        <v>45945</v>
      </c>
      <c r="F406" s="264">
        <v>2400000</v>
      </c>
      <c r="G406" s="268">
        <v>512880</v>
      </c>
      <c r="H406" s="264"/>
      <c r="I406" s="264">
        <v>4</v>
      </c>
      <c r="J406" s="272"/>
      <c r="K406" s="264"/>
      <c r="L406" s="264"/>
      <c r="M406" s="275"/>
    </row>
    <row r="407" spans="2:13" ht="16.5" customHeight="1">
      <c r="B407" s="265" t="s">
        <v>2090</v>
      </c>
      <c r="C407" s="263" t="s">
        <v>804</v>
      </c>
      <c r="D407" s="263">
        <v>2</v>
      </c>
      <c r="E407" s="171">
        <v>45750</v>
      </c>
      <c r="F407" s="264">
        <v>2522000</v>
      </c>
      <c r="G407" s="268">
        <v>1886320</v>
      </c>
      <c r="H407" s="264"/>
      <c r="I407" s="264">
        <v>4</v>
      </c>
      <c r="J407" s="272"/>
      <c r="K407" s="264"/>
      <c r="L407" s="264"/>
      <c r="M407" s="275"/>
    </row>
    <row r="408" spans="2:13" ht="16.5" customHeight="1">
      <c r="B408" s="265" t="s">
        <v>2091</v>
      </c>
      <c r="C408" s="263" t="s">
        <v>805</v>
      </c>
      <c r="D408" s="263">
        <v>2</v>
      </c>
      <c r="E408" s="171">
        <v>45750</v>
      </c>
      <c r="F408" s="264">
        <v>2470333.3333333335</v>
      </c>
      <c r="G408" s="268">
        <v>1847680</v>
      </c>
      <c r="H408" s="264"/>
      <c r="I408" s="264">
        <v>4</v>
      </c>
      <c r="J408" s="272"/>
      <c r="K408" s="264"/>
      <c r="L408" s="264"/>
      <c r="M408" s="275"/>
    </row>
    <row r="409" spans="2:13" ht="16.5" customHeight="1">
      <c r="B409" s="265" t="s">
        <v>2092</v>
      </c>
      <c r="C409" s="263" t="s">
        <v>806</v>
      </c>
      <c r="D409" s="263">
        <v>2</v>
      </c>
      <c r="E409" s="171">
        <v>45803</v>
      </c>
      <c r="F409" s="264">
        <v>2439333.3333333335</v>
      </c>
      <c r="G409" s="268">
        <v>1470290</v>
      </c>
      <c r="H409" s="264"/>
      <c r="I409" s="264">
        <v>4</v>
      </c>
      <c r="J409" s="272"/>
      <c r="K409" s="264"/>
      <c r="L409" s="264"/>
      <c r="M409" s="275"/>
    </row>
    <row r="410" spans="2:13" ht="16.5" customHeight="1">
      <c r="B410" s="265" t="s">
        <v>2093</v>
      </c>
      <c r="C410" s="263" t="s">
        <v>807</v>
      </c>
      <c r="D410" s="263">
        <v>2</v>
      </c>
      <c r="E410" s="171">
        <v>45840</v>
      </c>
      <c r="F410" s="264">
        <v>2434666.6666666665</v>
      </c>
      <c r="G410" s="268">
        <v>1220670</v>
      </c>
      <c r="H410" s="264"/>
      <c r="I410" s="264">
        <v>4</v>
      </c>
      <c r="J410" s="272"/>
      <c r="K410" s="264"/>
      <c r="L410" s="264"/>
      <c r="M410" s="275"/>
    </row>
    <row r="411" spans="2:13" ht="16.5" customHeight="1">
      <c r="B411" s="265" t="s">
        <v>2094</v>
      </c>
      <c r="C411" s="263" t="s">
        <v>808</v>
      </c>
      <c r="D411" s="263">
        <v>2</v>
      </c>
      <c r="E411" s="171">
        <v>45840</v>
      </c>
      <c r="F411" s="264">
        <v>2422000</v>
      </c>
      <c r="G411" s="268">
        <v>1214320</v>
      </c>
      <c r="H411" s="264"/>
      <c r="I411" s="264">
        <v>4</v>
      </c>
      <c r="J411" s="272"/>
      <c r="K411" s="264"/>
      <c r="L411" s="264"/>
      <c r="M411" s="275"/>
    </row>
    <row r="412" spans="2:13" ht="16.5" customHeight="1">
      <c r="B412" s="265" t="s">
        <v>2095</v>
      </c>
      <c r="C412" s="263" t="s">
        <v>809</v>
      </c>
      <c r="D412" s="263">
        <v>1</v>
      </c>
      <c r="E412" s="171">
        <v>45855</v>
      </c>
      <c r="F412" s="264">
        <v>2400000</v>
      </c>
      <c r="G412" s="268">
        <v>1104660</v>
      </c>
      <c r="H412" s="264"/>
      <c r="I412" s="264">
        <v>4</v>
      </c>
      <c r="J412" s="272"/>
      <c r="K412" s="264"/>
      <c r="L412" s="264"/>
      <c r="M412" s="275"/>
    </row>
    <row r="413" spans="2:13" ht="16.5" customHeight="1">
      <c r="B413" s="265" t="s">
        <v>2096</v>
      </c>
      <c r="C413" s="263" t="s">
        <v>810</v>
      </c>
      <c r="D413" s="263">
        <v>2</v>
      </c>
      <c r="E413" s="171">
        <v>45855</v>
      </c>
      <c r="F413" s="264">
        <v>2439666.6666666665</v>
      </c>
      <c r="G413" s="268">
        <v>1122920</v>
      </c>
      <c r="H413" s="264"/>
      <c r="I413" s="264">
        <v>4</v>
      </c>
      <c r="J413" s="272"/>
      <c r="K413" s="264"/>
      <c r="L413" s="264"/>
      <c r="M413" s="275"/>
    </row>
    <row r="414" spans="2:13" ht="16.5" customHeight="1">
      <c r="B414" s="265" t="s">
        <v>2097</v>
      </c>
      <c r="C414" s="263" t="s">
        <v>811</v>
      </c>
      <c r="D414" s="263">
        <v>2</v>
      </c>
      <c r="E414" s="171">
        <v>45908</v>
      </c>
      <c r="F414" s="264">
        <v>2400333.3333333335</v>
      </c>
      <c r="G414" s="268">
        <v>756270</v>
      </c>
      <c r="H414" s="264"/>
      <c r="I414" s="264">
        <v>4</v>
      </c>
      <c r="J414" s="272"/>
      <c r="K414" s="264"/>
      <c r="L414" s="264"/>
      <c r="M414" s="275"/>
    </row>
    <row r="415" spans="2:13" ht="16.5" customHeight="1">
      <c r="B415" s="265" t="s">
        <v>2098</v>
      </c>
      <c r="C415" s="263" t="s">
        <v>812</v>
      </c>
      <c r="D415" s="263">
        <v>2</v>
      </c>
      <c r="E415" s="171">
        <v>45908</v>
      </c>
      <c r="F415" s="264">
        <v>2401000</v>
      </c>
      <c r="G415" s="268">
        <v>756480</v>
      </c>
      <c r="H415" s="264"/>
      <c r="I415" s="264">
        <v>4</v>
      </c>
      <c r="J415" s="272"/>
      <c r="K415" s="264"/>
      <c r="L415" s="264"/>
      <c r="M415" s="275"/>
    </row>
    <row r="416" spans="2:13" ht="16.5" customHeight="1">
      <c r="B416" s="265" t="s">
        <v>2099</v>
      </c>
      <c r="C416" s="263" t="s">
        <v>813</v>
      </c>
      <c r="D416" s="263">
        <v>1</v>
      </c>
      <c r="E416" s="171">
        <v>45908</v>
      </c>
      <c r="F416" s="264">
        <v>2400333.3333333335</v>
      </c>
      <c r="G416" s="268">
        <v>756270</v>
      </c>
      <c r="H416" s="264"/>
      <c r="I416" s="264">
        <v>4</v>
      </c>
      <c r="J416" s="272"/>
      <c r="K416" s="264"/>
      <c r="L416" s="264"/>
      <c r="M416" s="275"/>
    </row>
    <row r="417" spans="2:13" ht="16.5" customHeight="1">
      <c r="B417" s="265" t="s">
        <v>2100</v>
      </c>
      <c r="C417" s="263" t="s">
        <v>814</v>
      </c>
      <c r="D417" s="263">
        <v>2</v>
      </c>
      <c r="E417" s="171">
        <v>45799</v>
      </c>
      <c r="F417" s="264">
        <v>2300000</v>
      </c>
      <c r="G417" s="268">
        <v>1411510</v>
      </c>
      <c r="H417" s="264"/>
      <c r="I417" s="264">
        <v>4</v>
      </c>
      <c r="J417" s="272"/>
      <c r="K417" s="264"/>
      <c r="L417" s="264"/>
      <c r="M417" s="275"/>
    </row>
    <row r="418" spans="2:13" ht="16.5" customHeight="1">
      <c r="B418" s="265" t="s">
        <v>2101</v>
      </c>
      <c r="C418" s="263" t="s">
        <v>815</v>
      </c>
      <c r="D418" s="263">
        <v>2</v>
      </c>
      <c r="E418" s="171">
        <v>45796</v>
      </c>
      <c r="F418" s="264">
        <v>2833340</v>
      </c>
      <c r="G418" s="268">
        <v>1762110</v>
      </c>
      <c r="H418" s="264"/>
      <c r="I418" s="264">
        <v>4</v>
      </c>
      <c r="J418" s="272"/>
      <c r="K418" s="264"/>
      <c r="L418" s="264"/>
      <c r="M418" s="275"/>
    </row>
    <row r="419" spans="2:13" ht="16.5" customHeight="1">
      <c r="B419" s="265" t="s">
        <v>2102</v>
      </c>
      <c r="C419" s="263" t="s">
        <v>816</v>
      </c>
      <c r="D419" s="263">
        <v>2</v>
      </c>
      <c r="E419" s="171">
        <v>45809</v>
      </c>
      <c r="F419" s="264">
        <v>3246666.6666666665</v>
      </c>
      <c r="G419" s="268">
        <v>1903530</v>
      </c>
      <c r="H419" s="264"/>
      <c r="I419" s="264">
        <v>4</v>
      </c>
      <c r="J419" s="272"/>
      <c r="K419" s="264"/>
      <c r="L419" s="264"/>
      <c r="M419" s="275"/>
    </row>
    <row r="420" spans="2:13" ht="16.5" customHeight="1">
      <c r="B420" s="265" t="s">
        <v>2103</v>
      </c>
      <c r="C420" s="263" t="s">
        <v>817</v>
      </c>
      <c r="D420" s="263">
        <v>2</v>
      </c>
      <c r="E420" s="171">
        <v>45809</v>
      </c>
      <c r="F420" s="264">
        <v>3366666.6666666665</v>
      </c>
      <c r="G420" s="268">
        <v>1973890</v>
      </c>
      <c r="H420" s="264"/>
      <c r="I420" s="264">
        <v>4</v>
      </c>
      <c r="J420" s="272"/>
      <c r="K420" s="264"/>
      <c r="L420" s="264"/>
      <c r="M420" s="275"/>
    </row>
    <row r="421" spans="2:13" ht="16.5" customHeight="1">
      <c r="B421" s="265" t="s">
        <v>2104</v>
      </c>
      <c r="C421" s="263" t="s">
        <v>818</v>
      </c>
      <c r="D421" s="263">
        <v>2</v>
      </c>
      <c r="E421" s="171">
        <v>45672</v>
      </c>
      <c r="F421" s="264">
        <v>3233860</v>
      </c>
      <c r="G421" s="268">
        <v>3109830</v>
      </c>
      <c r="H421" s="264"/>
      <c r="I421" s="264">
        <v>4</v>
      </c>
      <c r="J421" s="272"/>
      <c r="K421" s="264"/>
      <c r="L421" s="264"/>
      <c r="M421" s="275"/>
    </row>
    <row r="422" spans="2:13" ht="16.5" customHeight="1">
      <c r="B422" s="265" t="s">
        <v>2105</v>
      </c>
      <c r="C422" s="263" t="s">
        <v>819</v>
      </c>
      <c r="D422" s="263">
        <v>2</v>
      </c>
      <c r="E422" s="171">
        <v>45778</v>
      </c>
      <c r="F422" s="264">
        <v>3073333.3333333335</v>
      </c>
      <c r="G422" s="268">
        <v>2062930</v>
      </c>
      <c r="H422" s="264"/>
      <c r="I422" s="264">
        <v>4</v>
      </c>
      <c r="J422" s="272"/>
      <c r="K422" s="264"/>
      <c r="L422" s="264"/>
      <c r="M422" s="275"/>
    </row>
    <row r="423" spans="2:13" ht="16.5" customHeight="1">
      <c r="B423" s="265" t="s">
        <v>2106</v>
      </c>
      <c r="C423" s="263" t="s">
        <v>820</v>
      </c>
      <c r="D423" s="263">
        <v>2</v>
      </c>
      <c r="E423" s="171">
        <v>45799</v>
      </c>
      <c r="F423" s="264">
        <v>2916670</v>
      </c>
      <c r="G423" s="268">
        <v>1789960</v>
      </c>
      <c r="H423" s="264"/>
      <c r="I423" s="264">
        <v>4</v>
      </c>
      <c r="J423" s="272"/>
      <c r="K423" s="264"/>
      <c r="L423" s="264"/>
      <c r="M423" s="275"/>
    </row>
    <row r="424" spans="2:13" ht="16.5" customHeight="1">
      <c r="B424" s="265" t="s">
        <v>2107</v>
      </c>
      <c r="C424" s="263" t="s">
        <v>821</v>
      </c>
      <c r="D424" s="263">
        <v>1</v>
      </c>
      <c r="E424" s="171">
        <v>45659</v>
      </c>
      <c r="F424" s="264">
        <v>2300000</v>
      </c>
      <c r="G424" s="268">
        <v>2293700</v>
      </c>
      <c r="H424" s="264"/>
      <c r="I424" s="264">
        <v>4</v>
      </c>
      <c r="J424" s="272"/>
      <c r="K424" s="264"/>
      <c r="L424" s="264"/>
      <c r="M424" s="275"/>
    </row>
    <row r="425" spans="2:13" ht="16.5" customHeight="1">
      <c r="B425" s="265" t="s">
        <v>2108</v>
      </c>
      <c r="C425" s="263" t="s">
        <v>822</v>
      </c>
      <c r="D425" s="263">
        <v>1</v>
      </c>
      <c r="E425" s="171">
        <v>45819</v>
      </c>
      <c r="F425" s="264">
        <v>3936666.6666666665</v>
      </c>
      <c r="G425" s="268">
        <v>2200220</v>
      </c>
      <c r="H425" s="264"/>
      <c r="I425" s="264">
        <v>4</v>
      </c>
      <c r="J425" s="272"/>
      <c r="K425" s="264"/>
      <c r="L425" s="264"/>
      <c r="M425" s="275"/>
    </row>
    <row r="426" spans="2:13" ht="16.5" customHeight="1">
      <c r="B426" s="265" t="s">
        <v>2109</v>
      </c>
      <c r="C426" s="263" t="s">
        <v>823</v>
      </c>
      <c r="D426" s="263">
        <v>1</v>
      </c>
      <c r="E426" s="171">
        <v>45748</v>
      </c>
      <c r="F426" s="264">
        <v>3836583.3333333335</v>
      </c>
      <c r="G426" s="268">
        <v>2890580</v>
      </c>
      <c r="H426" s="264"/>
      <c r="I426" s="264">
        <v>4</v>
      </c>
      <c r="J426" s="272"/>
      <c r="K426" s="264"/>
      <c r="L426" s="264"/>
      <c r="M426" s="275"/>
    </row>
    <row r="427" spans="2:13" ht="16.5" customHeight="1">
      <c r="B427" s="265" t="s">
        <v>2110</v>
      </c>
      <c r="C427" s="263" t="s">
        <v>824</v>
      </c>
      <c r="D427" s="263">
        <v>1</v>
      </c>
      <c r="E427" s="171">
        <v>45763</v>
      </c>
      <c r="F427" s="264">
        <v>3545416.6666666665</v>
      </c>
      <c r="G427" s="268">
        <v>2525510</v>
      </c>
      <c r="H427" s="264"/>
      <c r="I427" s="264">
        <v>4</v>
      </c>
      <c r="J427" s="272"/>
      <c r="K427" s="264"/>
      <c r="L427" s="264"/>
      <c r="M427" s="275"/>
    </row>
    <row r="428" spans="2:13" ht="16.5" customHeight="1">
      <c r="B428" s="265" t="s">
        <v>2111</v>
      </c>
      <c r="C428" s="263" t="s">
        <v>825</v>
      </c>
      <c r="D428" s="263">
        <v>1</v>
      </c>
      <c r="E428" s="171">
        <v>45803</v>
      </c>
      <c r="F428" s="264">
        <v>3874000</v>
      </c>
      <c r="G428" s="268">
        <v>2335020</v>
      </c>
      <c r="H428" s="264"/>
      <c r="I428" s="264">
        <v>4</v>
      </c>
      <c r="J428" s="272"/>
      <c r="K428" s="264"/>
      <c r="L428" s="264"/>
      <c r="M428" s="275"/>
    </row>
    <row r="429" spans="2:13" ht="16.5" customHeight="1">
      <c r="B429" s="265" t="s">
        <v>2112</v>
      </c>
      <c r="C429" s="263" t="s">
        <v>826</v>
      </c>
      <c r="D429" s="263">
        <v>1</v>
      </c>
      <c r="E429" s="171">
        <v>45674</v>
      </c>
      <c r="F429" s="264">
        <v>4156000</v>
      </c>
      <c r="G429" s="268">
        <v>3973820</v>
      </c>
      <c r="H429" s="264"/>
      <c r="I429" s="264">
        <v>4</v>
      </c>
      <c r="J429" s="272"/>
      <c r="K429" s="264"/>
      <c r="L429" s="264"/>
      <c r="M429" s="275"/>
    </row>
    <row r="430" spans="2:13" ht="16.5" customHeight="1">
      <c r="B430" s="265" t="s">
        <v>2113</v>
      </c>
      <c r="C430" s="263" t="s">
        <v>827</v>
      </c>
      <c r="D430" s="263">
        <v>1</v>
      </c>
      <c r="E430" s="171">
        <v>45945</v>
      </c>
      <c r="F430" s="264">
        <v>3505060</v>
      </c>
      <c r="G430" s="268">
        <v>749030</v>
      </c>
      <c r="H430" s="264"/>
      <c r="I430" s="264">
        <v>4</v>
      </c>
      <c r="J430" s="272"/>
      <c r="K430" s="264"/>
      <c r="L430" s="264"/>
      <c r="M430" s="275"/>
    </row>
    <row r="431" spans="2:13" ht="16.5" customHeight="1">
      <c r="B431" s="265" t="s">
        <v>2114</v>
      </c>
      <c r="C431" s="263" t="s">
        <v>828</v>
      </c>
      <c r="D431" s="263">
        <v>1</v>
      </c>
      <c r="E431" s="171">
        <v>45720</v>
      </c>
      <c r="F431" s="264">
        <v>3882023.3333333335</v>
      </c>
      <c r="G431" s="268">
        <v>3222620</v>
      </c>
      <c r="H431" s="264"/>
      <c r="I431" s="264">
        <v>4</v>
      </c>
      <c r="J431" s="272"/>
      <c r="K431" s="264"/>
      <c r="L431" s="264"/>
      <c r="M431" s="275"/>
    </row>
    <row r="432" spans="2:13" ht="16.5" customHeight="1">
      <c r="B432" s="265" t="s">
        <v>2115</v>
      </c>
      <c r="C432" s="263" t="s">
        <v>829</v>
      </c>
      <c r="D432" s="263">
        <v>1</v>
      </c>
      <c r="E432" s="171">
        <v>45768</v>
      </c>
      <c r="F432" s="264">
        <v>3669926.6666666665</v>
      </c>
      <c r="G432" s="268">
        <v>2563930</v>
      </c>
      <c r="H432" s="264"/>
      <c r="I432" s="264">
        <v>4</v>
      </c>
      <c r="J432" s="272"/>
      <c r="K432" s="264"/>
      <c r="L432" s="264"/>
      <c r="M432" s="275"/>
    </row>
    <row r="433" spans="2:13" ht="16.5" customHeight="1">
      <c r="B433" s="265" t="s">
        <v>2116</v>
      </c>
      <c r="C433" s="263" t="s">
        <v>830</v>
      </c>
      <c r="D433" s="263">
        <v>1</v>
      </c>
      <c r="E433" s="171">
        <v>45873</v>
      </c>
      <c r="F433" s="264">
        <v>4186780</v>
      </c>
      <c r="G433" s="268">
        <v>1720600</v>
      </c>
      <c r="H433" s="264"/>
      <c r="I433" s="264">
        <v>4</v>
      </c>
      <c r="J433" s="272"/>
      <c r="K433" s="264"/>
      <c r="L433" s="264"/>
      <c r="M433" s="275"/>
    </row>
    <row r="434" spans="2:13" ht="16.5" customHeight="1">
      <c r="B434" s="265" t="s">
        <v>2117</v>
      </c>
      <c r="C434" s="263" t="s">
        <v>831</v>
      </c>
      <c r="D434" s="263">
        <v>1</v>
      </c>
      <c r="E434" s="171">
        <v>45720</v>
      </c>
      <c r="F434" s="264">
        <v>4795176.666666667</v>
      </c>
      <c r="G434" s="268">
        <v>3980660</v>
      </c>
      <c r="H434" s="264"/>
      <c r="I434" s="264">
        <v>4</v>
      </c>
      <c r="J434" s="272"/>
      <c r="K434" s="264"/>
      <c r="L434" s="264"/>
      <c r="M434" s="275"/>
    </row>
    <row r="435" spans="2:13" ht="16.5" customHeight="1">
      <c r="B435" s="265" t="s">
        <v>2118</v>
      </c>
      <c r="C435" s="263" t="s">
        <v>832</v>
      </c>
      <c r="D435" s="263">
        <v>1</v>
      </c>
      <c r="E435" s="171">
        <v>45768</v>
      </c>
      <c r="F435" s="264">
        <v>3255786.6666666665</v>
      </c>
      <c r="G435" s="268">
        <v>2274600</v>
      </c>
      <c r="H435" s="264"/>
      <c r="I435" s="264">
        <v>4</v>
      </c>
      <c r="J435" s="272"/>
      <c r="K435" s="264"/>
      <c r="L435" s="264"/>
      <c r="M435" s="275"/>
    </row>
    <row r="436" spans="2:13" ht="16.5" customHeight="1">
      <c r="B436" s="265" t="s">
        <v>2119</v>
      </c>
      <c r="C436" s="263" t="s">
        <v>833</v>
      </c>
      <c r="D436" s="263">
        <v>1</v>
      </c>
      <c r="E436" s="171">
        <v>45873</v>
      </c>
      <c r="F436" s="264">
        <v>3628483.3333333335</v>
      </c>
      <c r="G436" s="268">
        <v>1491160</v>
      </c>
      <c r="H436" s="264"/>
      <c r="I436" s="264">
        <v>4</v>
      </c>
      <c r="J436" s="272"/>
      <c r="K436" s="264"/>
      <c r="L436" s="264"/>
      <c r="M436" s="275"/>
    </row>
    <row r="437" spans="2:13" ht="16.5" customHeight="1">
      <c r="B437" s="265" t="s">
        <v>2120</v>
      </c>
      <c r="C437" s="263" t="s">
        <v>834</v>
      </c>
      <c r="D437" s="263">
        <v>1</v>
      </c>
      <c r="E437" s="171">
        <v>45873</v>
      </c>
      <c r="F437" s="264">
        <v>3205163.3333333335</v>
      </c>
      <c r="G437" s="268">
        <v>1317200</v>
      </c>
      <c r="H437" s="264"/>
      <c r="I437" s="264">
        <v>4</v>
      </c>
      <c r="J437" s="272"/>
      <c r="K437" s="264"/>
      <c r="L437" s="264"/>
      <c r="M437" s="275"/>
    </row>
    <row r="438" spans="2:13" ht="16.5" customHeight="1">
      <c r="B438" s="265" t="s">
        <v>2121</v>
      </c>
      <c r="C438" s="263" t="s">
        <v>835</v>
      </c>
      <c r="D438" s="263">
        <v>1</v>
      </c>
      <c r="E438" s="171">
        <v>45873</v>
      </c>
      <c r="F438" s="264">
        <v>4331496.666666667</v>
      </c>
      <c r="G438" s="268">
        <v>1780070</v>
      </c>
      <c r="H438" s="264"/>
      <c r="I438" s="264">
        <v>4</v>
      </c>
      <c r="J438" s="272"/>
      <c r="K438" s="264"/>
      <c r="L438" s="264"/>
      <c r="M438" s="275"/>
    </row>
    <row r="439" spans="2:13" ht="16.5" customHeight="1">
      <c r="B439" s="265" t="s">
        <v>2122</v>
      </c>
      <c r="C439" s="263" t="s">
        <v>836</v>
      </c>
      <c r="D439" s="263">
        <v>1</v>
      </c>
      <c r="E439" s="171">
        <v>45357</v>
      </c>
      <c r="F439" s="264">
        <v>4666670</v>
      </c>
      <c r="G439" s="268">
        <v>8515080</v>
      </c>
      <c r="H439" s="264"/>
      <c r="I439" s="264">
        <v>2</v>
      </c>
      <c r="J439" s="272"/>
      <c r="K439" s="264"/>
      <c r="L439" s="264"/>
      <c r="M439" s="275"/>
    </row>
    <row r="440" spans="2:13" ht="16.5" customHeight="1">
      <c r="B440" s="265" t="s">
        <v>2123</v>
      </c>
      <c r="C440" s="263" t="s">
        <v>837</v>
      </c>
      <c r="D440" s="263">
        <v>1</v>
      </c>
      <c r="E440" s="171">
        <v>44257</v>
      </c>
      <c r="F440" s="264">
        <v>4805730</v>
      </c>
      <c r="G440" s="268">
        <v>23251840</v>
      </c>
      <c r="H440" s="264"/>
      <c r="I440" s="264">
        <v>2</v>
      </c>
      <c r="J440" s="272"/>
      <c r="K440" s="264"/>
      <c r="L440" s="264"/>
      <c r="M440" s="275"/>
    </row>
    <row r="441" spans="2:13" ht="16.5" customHeight="1">
      <c r="B441" s="265" t="s">
        <v>2124</v>
      </c>
      <c r="C441" s="263" t="s">
        <v>838</v>
      </c>
      <c r="D441" s="263">
        <v>1</v>
      </c>
      <c r="E441" s="171">
        <v>44578</v>
      </c>
      <c r="F441" s="264">
        <v>4287110</v>
      </c>
      <c r="G441" s="268">
        <v>16972260</v>
      </c>
      <c r="H441" s="264"/>
      <c r="I441" s="264">
        <v>2</v>
      </c>
      <c r="J441" s="272"/>
      <c r="K441" s="264"/>
      <c r="L441" s="264"/>
      <c r="M441" s="275"/>
    </row>
    <row r="442" spans="2:13" ht="16.5" customHeight="1">
      <c r="B442" s="265" t="s">
        <v>2125</v>
      </c>
      <c r="C442" s="263" t="s">
        <v>839</v>
      </c>
      <c r="D442" s="263">
        <v>1</v>
      </c>
      <c r="E442" s="171">
        <v>44725</v>
      </c>
      <c r="F442" s="264">
        <v>4324110</v>
      </c>
      <c r="G442" s="268">
        <v>15377250</v>
      </c>
      <c r="H442" s="264"/>
      <c r="I442" s="264">
        <v>2</v>
      </c>
      <c r="J442" s="272"/>
      <c r="K442" s="264"/>
      <c r="L442" s="264"/>
      <c r="M442" s="275"/>
    </row>
    <row r="443" spans="2:13" ht="16.5" customHeight="1">
      <c r="B443" s="265" t="s">
        <v>2126</v>
      </c>
      <c r="C443" s="263" t="s">
        <v>840</v>
      </c>
      <c r="D443" s="263">
        <v>2</v>
      </c>
      <c r="E443" s="171">
        <v>45390</v>
      </c>
      <c r="F443" s="264">
        <v>3776250</v>
      </c>
      <c r="G443" s="268">
        <v>6548950</v>
      </c>
      <c r="H443" s="264"/>
      <c r="I443" s="264">
        <v>2</v>
      </c>
      <c r="J443" s="272"/>
      <c r="K443" s="264"/>
      <c r="L443" s="264"/>
      <c r="M443" s="275"/>
    </row>
    <row r="444" spans="2:13" ht="16.5" customHeight="1">
      <c r="B444" s="265" t="s">
        <v>2127</v>
      </c>
      <c r="C444" s="263" t="s">
        <v>841</v>
      </c>
      <c r="D444" s="263">
        <v>1</v>
      </c>
      <c r="E444" s="171">
        <v>44452</v>
      </c>
      <c r="F444" s="264">
        <v>9615995.833333334</v>
      </c>
      <c r="G444" s="268">
        <v>41388300</v>
      </c>
      <c r="H444" s="264"/>
      <c r="I444" s="264">
        <v>2</v>
      </c>
      <c r="J444" s="272"/>
      <c r="K444" s="264"/>
      <c r="L444" s="264"/>
      <c r="M444" s="275"/>
    </row>
    <row r="445" spans="2:13" ht="16.5" customHeight="1">
      <c r="B445" s="265" t="s">
        <v>2128</v>
      </c>
      <c r="C445" s="263" t="s">
        <v>842</v>
      </c>
      <c r="D445" s="263">
        <v>1</v>
      </c>
      <c r="E445" s="171">
        <v>44866</v>
      </c>
      <c r="F445" s="264">
        <v>6467820</v>
      </c>
      <c r="G445" s="268">
        <v>2161850</v>
      </c>
      <c r="H445" s="264"/>
      <c r="I445" s="264">
        <v>2</v>
      </c>
      <c r="J445" s="272">
        <v>45900</v>
      </c>
      <c r="K445" s="264">
        <v>18770430</v>
      </c>
      <c r="L445" s="264"/>
      <c r="M445" s="275"/>
    </row>
    <row r="446" spans="2:13" ht="16.5" customHeight="1">
      <c r="B446" s="265" t="s">
        <v>2129</v>
      </c>
      <c r="C446" s="263" t="s">
        <v>843</v>
      </c>
      <c r="D446" s="263">
        <v>1</v>
      </c>
      <c r="E446" s="171">
        <v>44508</v>
      </c>
      <c r="F446" s="264">
        <v>5062400</v>
      </c>
      <c r="G446" s="268">
        <v>4244100</v>
      </c>
      <c r="H446" s="264"/>
      <c r="I446" s="264">
        <v>2</v>
      </c>
      <c r="J446" s="272">
        <v>45716</v>
      </c>
      <c r="K446" s="264">
        <v>17161650</v>
      </c>
      <c r="L446" s="264"/>
      <c r="M446" s="275"/>
    </row>
    <row r="447" spans="2:13" ht="16.5" customHeight="1">
      <c r="B447" s="265" t="s">
        <v>2130</v>
      </c>
      <c r="C447" s="263" t="s">
        <v>844</v>
      </c>
      <c r="D447" s="263">
        <v>2</v>
      </c>
      <c r="E447" s="171">
        <v>45021</v>
      </c>
      <c r="F447" s="264">
        <v>4641280</v>
      </c>
      <c r="G447" s="268">
        <v>3496860</v>
      </c>
      <c r="H447" s="264"/>
      <c r="I447" s="264">
        <v>2</v>
      </c>
      <c r="J447" s="272">
        <v>45747</v>
      </c>
      <c r="K447" s="264">
        <v>9461240</v>
      </c>
      <c r="L447" s="264"/>
      <c r="M447" s="275"/>
    </row>
    <row r="448" spans="2:13" ht="16.5" customHeight="1">
      <c r="B448" s="265" t="s">
        <v>2131</v>
      </c>
      <c r="C448" s="263" t="s">
        <v>845</v>
      </c>
      <c r="D448" s="263">
        <v>2</v>
      </c>
      <c r="E448" s="171">
        <v>45096</v>
      </c>
      <c r="F448" s="264">
        <v>3804940</v>
      </c>
      <c r="G448" s="268">
        <v>9663510</v>
      </c>
      <c r="H448" s="264"/>
      <c r="I448" s="264">
        <v>2</v>
      </c>
      <c r="J448" s="272"/>
      <c r="K448" s="264"/>
      <c r="L448" s="264"/>
      <c r="M448" s="275"/>
    </row>
    <row r="449" spans="2:13" ht="16.5" customHeight="1">
      <c r="B449" s="265" t="s">
        <v>2132</v>
      </c>
      <c r="C449" s="263" t="s">
        <v>846</v>
      </c>
      <c r="D449" s="263">
        <v>2</v>
      </c>
      <c r="E449" s="171">
        <v>45362</v>
      </c>
      <c r="F449" s="264">
        <v>4947920</v>
      </c>
      <c r="G449" s="268">
        <v>8960480</v>
      </c>
      <c r="H449" s="264"/>
      <c r="I449" s="264">
        <v>2</v>
      </c>
      <c r="J449" s="272"/>
      <c r="K449" s="264"/>
      <c r="L449" s="264"/>
      <c r="M449" s="275"/>
    </row>
    <row r="450" spans="2:13" ht="16.5" customHeight="1">
      <c r="B450" s="265" t="s">
        <v>2133</v>
      </c>
      <c r="C450" s="263" t="s">
        <v>847</v>
      </c>
      <c r="D450" s="263">
        <v>1</v>
      </c>
      <c r="E450" s="171">
        <v>44517</v>
      </c>
      <c r="F450" s="264">
        <v>5311880</v>
      </c>
      <c r="G450" s="268">
        <v>21916970</v>
      </c>
      <c r="H450" s="264"/>
      <c r="I450" s="264">
        <v>2</v>
      </c>
      <c r="J450" s="272"/>
      <c r="K450" s="264"/>
      <c r="L450" s="264"/>
      <c r="M450" s="275"/>
    </row>
    <row r="451" spans="2:13" ht="16.5" customHeight="1">
      <c r="B451" s="265" t="s">
        <v>2134</v>
      </c>
      <c r="C451" s="263" t="s">
        <v>848</v>
      </c>
      <c r="D451" s="263">
        <v>2</v>
      </c>
      <c r="E451" s="171">
        <v>44431</v>
      </c>
      <c r="F451" s="264">
        <v>3487330</v>
      </c>
      <c r="G451" s="268">
        <v>15210500</v>
      </c>
      <c r="H451" s="264"/>
      <c r="I451" s="264">
        <v>2</v>
      </c>
      <c r="J451" s="272"/>
      <c r="K451" s="264"/>
      <c r="L451" s="264"/>
      <c r="M451" s="275"/>
    </row>
    <row r="452" spans="2:13" ht="16.5" customHeight="1">
      <c r="B452" s="265" t="s">
        <v>2135</v>
      </c>
      <c r="C452" s="263" t="s">
        <v>849</v>
      </c>
      <c r="D452" s="263">
        <v>1</v>
      </c>
      <c r="E452" s="171">
        <v>44593</v>
      </c>
      <c r="F452" s="264">
        <v>932640</v>
      </c>
      <c r="G452" s="268">
        <v>3653910</v>
      </c>
      <c r="H452" s="264"/>
      <c r="I452" s="264">
        <v>2</v>
      </c>
      <c r="J452" s="272"/>
      <c r="K452" s="264"/>
      <c r="L452" s="264"/>
      <c r="M452" s="275"/>
    </row>
    <row r="453" spans="2:13" ht="16.5" customHeight="1">
      <c r="B453" s="265" t="s">
        <v>2136</v>
      </c>
      <c r="C453" s="263" t="s">
        <v>850</v>
      </c>
      <c r="D453" s="263">
        <v>2</v>
      </c>
      <c r="E453" s="171">
        <v>44682</v>
      </c>
      <c r="F453" s="264">
        <v>932640</v>
      </c>
      <c r="G453" s="268">
        <v>3426500</v>
      </c>
      <c r="H453" s="264"/>
      <c r="I453" s="264">
        <v>2</v>
      </c>
      <c r="J453" s="272"/>
      <c r="K453" s="264"/>
      <c r="L453" s="264"/>
      <c r="M453" s="275"/>
    </row>
    <row r="454" spans="2:13" ht="16.5" customHeight="1">
      <c r="B454" s="265" t="s">
        <v>2137</v>
      </c>
      <c r="C454" s="263" t="s">
        <v>851</v>
      </c>
      <c r="D454" s="263">
        <v>2</v>
      </c>
      <c r="E454" s="171">
        <v>44682</v>
      </c>
      <c r="F454" s="264">
        <v>932640</v>
      </c>
      <c r="G454" s="268">
        <v>3426500</v>
      </c>
      <c r="H454" s="264"/>
      <c r="I454" s="264">
        <v>2</v>
      </c>
      <c r="J454" s="272"/>
      <c r="K454" s="264"/>
      <c r="L454" s="264"/>
      <c r="M454" s="275"/>
    </row>
    <row r="455" spans="2:13" ht="16.5" customHeight="1">
      <c r="B455" s="265" t="s">
        <v>2138</v>
      </c>
      <c r="C455" s="263" t="s">
        <v>852</v>
      </c>
      <c r="D455" s="263">
        <v>1</v>
      </c>
      <c r="E455" s="171">
        <v>44682</v>
      </c>
      <c r="F455" s="264">
        <v>932640</v>
      </c>
      <c r="G455" s="268">
        <v>3426500</v>
      </c>
      <c r="H455" s="264"/>
      <c r="I455" s="264">
        <v>2</v>
      </c>
      <c r="J455" s="272"/>
      <c r="K455" s="264"/>
      <c r="L455" s="264"/>
      <c r="M455" s="275"/>
    </row>
    <row r="456" spans="2:13" ht="16.5" customHeight="1">
      <c r="B456" s="265" t="s">
        <v>2139</v>
      </c>
      <c r="C456" s="263" t="s">
        <v>853</v>
      </c>
      <c r="D456" s="263">
        <v>1</v>
      </c>
      <c r="E456" s="171">
        <v>44774</v>
      </c>
      <c r="F456" s="264">
        <v>932640</v>
      </c>
      <c r="G456" s="268">
        <v>3191420</v>
      </c>
      <c r="H456" s="264"/>
      <c r="I456" s="264">
        <v>2</v>
      </c>
      <c r="J456" s="272"/>
      <c r="K456" s="264"/>
      <c r="L456" s="264"/>
      <c r="M456" s="275"/>
    </row>
    <row r="457" spans="2:13" ht="16.5" customHeight="1">
      <c r="B457" s="265" t="s">
        <v>2140</v>
      </c>
      <c r="C457" s="263" t="s">
        <v>854</v>
      </c>
      <c r="D457" s="263">
        <v>1</v>
      </c>
      <c r="E457" s="171">
        <v>44774</v>
      </c>
      <c r="F457" s="264">
        <v>932640</v>
      </c>
      <c r="G457" s="268">
        <v>3191420</v>
      </c>
      <c r="H457" s="264"/>
      <c r="I457" s="264">
        <v>2</v>
      </c>
      <c r="J457" s="272"/>
      <c r="K457" s="264"/>
      <c r="L457" s="264"/>
      <c r="M457" s="275"/>
    </row>
    <row r="458" spans="2:13" ht="16.5" customHeight="1">
      <c r="B458" s="265" t="s">
        <v>2141</v>
      </c>
      <c r="C458" s="263" t="s">
        <v>855</v>
      </c>
      <c r="D458" s="263">
        <v>1</v>
      </c>
      <c r="E458" s="171">
        <v>44896</v>
      </c>
      <c r="F458" s="264">
        <v>932640</v>
      </c>
      <c r="G458" s="268">
        <v>2879690</v>
      </c>
      <c r="H458" s="264"/>
      <c r="I458" s="264">
        <v>2</v>
      </c>
      <c r="J458" s="272"/>
      <c r="K458" s="264"/>
      <c r="L458" s="264"/>
      <c r="M458" s="275"/>
    </row>
    <row r="459" spans="2:13" ht="16.5" customHeight="1">
      <c r="B459" s="265" t="s">
        <v>2142</v>
      </c>
      <c r="C459" s="263" t="s">
        <v>856</v>
      </c>
      <c r="D459" s="263">
        <v>1</v>
      </c>
      <c r="E459" s="171">
        <v>44958</v>
      </c>
      <c r="F459" s="264">
        <v>932640</v>
      </c>
      <c r="G459" s="268">
        <v>2721270</v>
      </c>
      <c r="H459" s="264"/>
      <c r="I459" s="264">
        <v>2</v>
      </c>
      <c r="J459" s="272"/>
      <c r="K459" s="264"/>
      <c r="L459" s="264"/>
      <c r="M459" s="275"/>
    </row>
    <row r="460" spans="2:13" ht="16.5" customHeight="1">
      <c r="B460" s="265" t="s">
        <v>2143</v>
      </c>
      <c r="C460" s="263" t="s">
        <v>857</v>
      </c>
      <c r="D460" s="263">
        <v>1</v>
      </c>
      <c r="E460" s="171">
        <v>44958</v>
      </c>
      <c r="F460" s="264">
        <v>932640</v>
      </c>
      <c r="G460" s="268">
        <v>2721270</v>
      </c>
      <c r="H460" s="264"/>
      <c r="I460" s="264">
        <v>2</v>
      </c>
      <c r="J460" s="272"/>
      <c r="K460" s="264"/>
      <c r="L460" s="264"/>
      <c r="M460" s="275"/>
    </row>
    <row r="461" spans="2:13" ht="16.5" customHeight="1">
      <c r="B461" s="265" t="s">
        <v>2144</v>
      </c>
      <c r="C461" s="263" t="s">
        <v>858</v>
      </c>
      <c r="D461" s="263">
        <v>1</v>
      </c>
      <c r="E461" s="171">
        <v>44676</v>
      </c>
      <c r="F461" s="264">
        <v>5224949.166666667</v>
      </c>
      <c r="G461" s="268">
        <v>19282210</v>
      </c>
      <c r="H461" s="264"/>
      <c r="I461" s="264">
        <v>2</v>
      </c>
      <c r="J461" s="272"/>
      <c r="K461" s="264"/>
      <c r="L461" s="264"/>
      <c r="M461" s="275"/>
    </row>
    <row r="462" spans="2:13" ht="16.5" customHeight="1">
      <c r="B462" s="265" t="s">
        <v>2145</v>
      </c>
      <c r="C462" s="263" t="s">
        <v>737</v>
      </c>
      <c r="D462" s="263">
        <v>2</v>
      </c>
      <c r="E462" s="171">
        <v>45124</v>
      </c>
      <c r="F462" s="264">
        <v>3495840</v>
      </c>
      <c r="G462" s="268">
        <v>8610310</v>
      </c>
      <c r="H462" s="264"/>
      <c r="I462" s="264">
        <v>2</v>
      </c>
      <c r="J462" s="272"/>
      <c r="K462" s="264"/>
      <c r="L462" s="264"/>
      <c r="M462" s="275"/>
    </row>
    <row r="463" spans="2:13" ht="16.5" customHeight="1">
      <c r="B463" s="265" t="s">
        <v>2146</v>
      </c>
      <c r="C463" s="263" t="s">
        <v>859</v>
      </c>
      <c r="D463" s="263">
        <v>1</v>
      </c>
      <c r="E463" s="171">
        <v>45509</v>
      </c>
      <c r="F463" s="264">
        <v>4121670</v>
      </c>
      <c r="G463" s="268">
        <v>5804220</v>
      </c>
      <c r="H463" s="264"/>
      <c r="I463" s="264">
        <v>2</v>
      </c>
      <c r="J463" s="272"/>
      <c r="K463" s="264"/>
      <c r="L463" s="264"/>
      <c r="M463" s="275"/>
    </row>
    <row r="464" spans="2:13" ht="16.5" customHeight="1">
      <c r="B464" s="265" t="s">
        <v>2147</v>
      </c>
      <c r="C464" s="263" t="s">
        <v>860</v>
      </c>
      <c r="D464" s="263">
        <v>2</v>
      </c>
      <c r="E464" s="171">
        <v>44168</v>
      </c>
      <c r="F464" s="264">
        <v>3521060</v>
      </c>
      <c r="G464" s="268">
        <v>17894710</v>
      </c>
      <c r="H464" s="264"/>
      <c r="I464" s="264">
        <v>2</v>
      </c>
      <c r="J464" s="272"/>
      <c r="K464" s="264"/>
      <c r="L464" s="264"/>
      <c r="M464" s="275"/>
    </row>
    <row r="465" spans="2:13" ht="16.5" customHeight="1">
      <c r="B465" s="265" t="s">
        <v>2148</v>
      </c>
      <c r="C465" s="263" t="s">
        <v>861</v>
      </c>
      <c r="D465" s="263">
        <v>2</v>
      </c>
      <c r="E465" s="171">
        <v>44579</v>
      </c>
      <c r="F465" s="264">
        <v>4605186.666666667</v>
      </c>
      <c r="G465" s="268">
        <v>18218880</v>
      </c>
      <c r="H465" s="264"/>
      <c r="I465" s="264">
        <v>2</v>
      </c>
      <c r="J465" s="272"/>
      <c r="K465" s="264"/>
      <c r="L465" s="264"/>
      <c r="M465" s="275"/>
    </row>
    <row r="466" spans="2:13" ht="16.5" customHeight="1">
      <c r="B466" s="265" t="s">
        <v>2149</v>
      </c>
      <c r="C466" s="263" t="s">
        <v>862</v>
      </c>
      <c r="D466" s="263">
        <v>2</v>
      </c>
      <c r="E466" s="171">
        <v>45614</v>
      </c>
      <c r="F466" s="264">
        <v>6751300</v>
      </c>
      <c r="G466" s="268">
        <v>7565160</v>
      </c>
      <c r="H466" s="264"/>
      <c r="I466" s="264">
        <v>2</v>
      </c>
      <c r="J466" s="272"/>
      <c r="K466" s="264"/>
      <c r="L466" s="264"/>
      <c r="M466" s="275"/>
    </row>
    <row r="467" spans="2:13" ht="16.5" customHeight="1">
      <c r="B467" s="265" t="s">
        <v>2150</v>
      </c>
      <c r="C467" s="263" t="s">
        <v>863</v>
      </c>
      <c r="D467" s="263">
        <v>2</v>
      </c>
      <c r="E467" s="171">
        <v>44326</v>
      </c>
      <c r="F467" s="264">
        <v>2942490</v>
      </c>
      <c r="G467" s="268">
        <v>13680570</v>
      </c>
      <c r="H467" s="264"/>
      <c r="I467" s="264">
        <v>2</v>
      </c>
      <c r="J467" s="272"/>
      <c r="K467" s="264"/>
      <c r="L467" s="264"/>
      <c r="M467" s="275"/>
    </row>
    <row r="468" spans="2:13" ht="16.5" customHeight="1">
      <c r="B468" s="265" t="s">
        <v>2151</v>
      </c>
      <c r="C468" s="263" t="s">
        <v>864</v>
      </c>
      <c r="D468" s="263">
        <v>2</v>
      </c>
      <c r="E468" s="171">
        <v>44627</v>
      </c>
      <c r="F468" s="264">
        <v>3783480</v>
      </c>
      <c r="G468" s="268">
        <v>14470520</v>
      </c>
      <c r="H468" s="264"/>
      <c r="I468" s="264">
        <v>2</v>
      </c>
      <c r="J468" s="272"/>
      <c r="K468" s="264"/>
      <c r="L468" s="264"/>
      <c r="M468" s="275"/>
    </row>
    <row r="469" spans="2:13" ht="16.5" customHeight="1">
      <c r="B469" s="265" t="s">
        <v>2152</v>
      </c>
      <c r="C469" s="263" t="s">
        <v>865</v>
      </c>
      <c r="D469" s="263">
        <v>2</v>
      </c>
      <c r="E469" s="171">
        <v>44602</v>
      </c>
      <c r="F469" s="264">
        <v>2500000</v>
      </c>
      <c r="G469" s="268">
        <v>9732880</v>
      </c>
      <c r="H469" s="264"/>
      <c r="I469" s="264">
        <v>2</v>
      </c>
      <c r="J469" s="272"/>
      <c r="K469" s="264"/>
      <c r="L469" s="264"/>
      <c r="M469" s="275"/>
    </row>
    <row r="470" spans="2:13" ht="16.5" customHeight="1">
      <c r="B470" s="265" t="s">
        <v>2153</v>
      </c>
      <c r="C470" s="263" t="s">
        <v>866</v>
      </c>
      <c r="D470" s="263">
        <v>2</v>
      </c>
      <c r="E470" s="171">
        <v>44802</v>
      </c>
      <c r="F470" s="264">
        <v>4623838</v>
      </c>
      <c r="G470" s="268">
        <v>15467690</v>
      </c>
      <c r="H470" s="264"/>
      <c r="I470" s="264">
        <v>2</v>
      </c>
      <c r="J470" s="272"/>
      <c r="K470" s="264"/>
      <c r="L470" s="264"/>
      <c r="M470" s="275"/>
    </row>
    <row r="471" spans="2:13" ht="16.5" customHeight="1">
      <c r="B471" s="265" t="s">
        <v>2154</v>
      </c>
      <c r="C471" s="263" t="s">
        <v>867</v>
      </c>
      <c r="D471" s="263">
        <v>2</v>
      </c>
      <c r="E471" s="171">
        <v>44882</v>
      </c>
      <c r="F471" s="264">
        <v>3013333.3333333335</v>
      </c>
      <c r="G471" s="268">
        <v>9419770</v>
      </c>
      <c r="H471" s="264"/>
      <c r="I471" s="264">
        <v>2</v>
      </c>
      <c r="J471" s="272"/>
      <c r="K471" s="264"/>
      <c r="L471" s="264"/>
      <c r="M471" s="275"/>
    </row>
    <row r="472" spans="2:13" ht="16.5" customHeight="1">
      <c r="B472" s="265" t="s">
        <v>2155</v>
      </c>
      <c r="C472" s="263" t="s">
        <v>868</v>
      </c>
      <c r="D472" s="263">
        <v>2</v>
      </c>
      <c r="E472" s="171">
        <v>44882</v>
      </c>
      <c r="F472" s="264">
        <v>5107926</v>
      </c>
      <c r="G472" s="268">
        <v>15967520</v>
      </c>
      <c r="H472" s="264"/>
      <c r="I472" s="264">
        <v>2</v>
      </c>
      <c r="J472" s="272"/>
      <c r="K472" s="264"/>
      <c r="L472" s="264"/>
      <c r="M472" s="275"/>
    </row>
    <row r="473" spans="2:13" ht="16.5" customHeight="1">
      <c r="B473" s="265" t="s">
        <v>2156</v>
      </c>
      <c r="C473" s="263" t="s">
        <v>869</v>
      </c>
      <c r="D473" s="263">
        <v>2</v>
      </c>
      <c r="E473" s="171">
        <v>44882</v>
      </c>
      <c r="F473" s="264">
        <v>5373517</v>
      </c>
      <c r="G473" s="268">
        <v>16797770</v>
      </c>
      <c r="H473" s="264"/>
      <c r="I473" s="264">
        <v>2</v>
      </c>
      <c r="J473" s="272"/>
      <c r="K473" s="264"/>
      <c r="L473" s="264"/>
      <c r="M473" s="275"/>
    </row>
    <row r="474" spans="2:13" ht="16.5" customHeight="1">
      <c r="B474" s="265" t="s">
        <v>2157</v>
      </c>
      <c r="C474" s="263" t="s">
        <v>870</v>
      </c>
      <c r="D474" s="263">
        <v>2</v>
      </c>
      <c r="E474" s="171">
        <v>44627</v>
      </c>
      <c r="F474" s="264">
        <v>3698950</v>
      </c>
      <c r="G474" s="268">
        <v>14147220</v>
      </c>
      <c r="H474" s="264"/>
      <c r="I474" s="264">
        <v>2</v>
      </c>
      <c r="J474" s="272"/>
      <c r="K474" s="264"/>
      <c r="L474" s="264"/>
      <c r="M474" s="275"/>
    </row>
    <row r="475" spans="2:13" ht="16.5" customHeight="1">
      <c r="B475" s="265" t="s">
        <v>2158</v>
      </c>
      <c r="C475" s="263" t="s">
        <v>871</v>
      </c>
      <c r="D475" s="263">
        <v>2</v>
      </c>
      <c r="E475" s="171">
        <v>45397</v>
      </c>
      <c r="F475" s="264">
        <v>5845840</v>
      </c>
      <c r="G475" s="268">
        <v>10026020</v>
      </c>
      <c r="H475" s="264"/>
      <c r="I475" s="264">
        <v>2</v>
      </c>
      <c r="J475" s="272"/>
      <c r="K475" s="264"/>
      <c r="L475" s="264"/>
      <c r="M475" s="275"/>
    </row>
    <row r="476" spans="2:13" ht="16.5" customHeight="1">
      <c r="B476" s="265" t="s">
        <v>2159</v>
      </c>
      <c r="C476" s="263" t="s">
        <v>872</v>
      </c>
      <c r="D476" s="263">
        <v>2</v>
      </c>
      <c r="E476" s="171">
        <v>44144</v>
      </c>
      <c r="F476" s="264">
        <v>3754600</v>
      </c>
      <c r="G476" s="268">
        <v>19328480</v>
      </c>
      <c r="H476" s="264"/>
      <c r="I476" s="264">
        <v>2</v>
      </c>
      <c r="J476" s="272"/>
      <c r="K476" s="264"/>
      <c r="L476" s="264"/>
      <c r="M476" s="275"/>
    </row>
    <row r="477" spans="2:13" ht="16.5" customHeight="1">
      <c r="B477" s="265" t="s">
        <v>2160</v>
      </c>
      <c r="C477" s="263" t="s">
        <v>873</v>
      </c>
      <c r="D477" s="263">
        <v>1</v>
      </c>
      <c r="E477" s="171">
        <v>44160</v>
      </c>
      <c r="F477" s="264">
        <v>5647810</v>
      </c>
      <c r="G477" s="268">
        <v>28827050</v>
      </c>
      <c r="H477" s="264"/>
      <c r="I477" s="264">
        <v>2</v>
      </c>
      <c r="J477" s="272"/>
      <c r="K477" s="264"/>
      <c r="L477" s="264"/>
      <c r="M477" s="275"/>
    </row>
    <row r="478" spans="2:13" ht="16.5" customHeight="1">
      <c r="B478" s="265" t="s">
        <v>2161</v>
      </c>
      <c r="C478" s="263" t="s">
        <v>874</v>
      </c>
      <c r="D478" s="263">
        <v>2</v>
      </c>
      <c r="E478" s="171">
        <v>44210</v>
      </c>
      <c r="F478" s="264">
        <v>3219815</v>
      </c>
      <c r="G478" s="268">
        <v>15993220</v>
      </c>
      <c r="H478" s="264"/>
      <c r="I478" s="264">
        <v>2</v>
      </c>
      <c r="J478" s="272"/>
      <c r="K478" s="264"/>
      <c r="L478" s="264"/>
      <c r="M478" s="275"/>
    </row>
    <row r="479" spans="2:13" ht="16.5" customHeight="1">
      <c r="B479" s="265" t="s">
        <v>2162</v>
      </c>
      <c r="C479" s="263" t="s">
        <v>875</v>
      </c>
      <c r="D479" s="263">
        <v>2</v>
      </c>
      <c r="E479" s="171">
        <v>44228</v>
      </c>
      <c r="F479" s="264">
        <v>3425800</v>
      </c>
      <c r="G479" s="268">
        <v>16847430</v>
      </c>
      <c r="H479" s="264"/>
      <c r="I479" s="264">
        <v>2</v>
      </c>
      <c r="J479" s="272"/>
      <c r="K479" s="264"/>
      <c r="L479" s="264"/>
      <c r="M479" s="275"/>
    </row>
    <row r="480" spans="2:13" ht="16.5" customHeight="1">
      <c r="B480" s="265" t="s">
        <v>2163</v>
      </c>
      <c r="C480" s="263" t="s">
        <v>876</v>
      </c>
      <c r="D480" s="263">
        <v>1</v>
      </c>
      <c r="E480" s="171">
        <v>44333</v>
      </c>
      <c r="F480" s="264">
        <v>5580980</v>
      </c>
      <c r="G480" s="268">
        <v>25840710</v>
      </c>
      <c r="H480" s="264"/>
      <c r="I480" s="264">
        <v>2</v>
      </c>
      <c r="J480" s="272"/>
      <c r="K480" s="264"/>
      <c r="L480" s="264"/>
      <c r="M480" s="275"/>
    </row>
    <row r="481" spans="2:13" ht="16.5" customHeight="1">
      <c r="B481" s="265" t="s">
        <v>2164</v>
      </c>
      <c r="C481" s="263" t="s">
        <v>877</v>
      </c>
      <c r="D481" s="263">
        <v>2</v>
      </c>
      <c r="E481" s="171">
        <v>43405</v>
      </c>
      <c r="F481" s="264">
        <v>3305890</v>
      </c>
      <c r="G481" s="268">
        <v>23711840</v>
      </c>
      <c r="H481" s="264"/>
      <c r="I481" s="264">
        <v>2</v>
      </c>
      <c r="J481" s="272"/>
      <c r="K481" s="264"/>
      <c r="L481" s="264"/>
      <c r="M481" s="275"/>
    </row>
    <row r="482" spans="2:13" ht="16.5" customHeight="1">
      <c r="B482" s="265" t="s">
        <v>2165</v>
      </c>
      <c r="C482" s="263" t="s">
        <v>878</v>
      </c>
      <c r="D482" s="263">
        <v>2</v>
      </c>
      <c r="E482" s="171">
        <v>44627</v>
      </c>
      <c r="F482" s="264">
        <v>3838630</v>
      </c>
      <c r="G482" s="268">
        <v>14681450</v>
      </c>
      <c r="H482" s="264"/>
      <c r="I482" s="264">
        <v>2</v>
      </c>
      <c r="J482" s="272"/>
      <c r="K482" s="264"/>
      <c r="L482" s="264"/>
      <c r="M482" s="275"/>
    </row>
    <row r="483" spans="2:13" ht="16.5" customHeight="1">
      <c r="B483" s="265" t="s">
        <v>2166</v>
      </c>
      <c r="C483" s="263" t="s">
        <v>879</v>
      </c>
      <c r="D483" s="263">
        <v>1</v>
      </c>
      <c r="E483" s="171">
        <v>44627</v>
      </c>
      <c r="F483" s="264">
        <v>4097660</v>
      </c>
      <c r="G483" s="268">
        <v>15672150</v>
      </c>
      <c r="H483" s="264"/>
      <c r="I483" s="264">
        <v>2</v>
      </c>
      <c r="J483" s="272"/>
      <c r="K483" s="264"/>
      <c r="L483" s="264"/>
      <c r="M483" s="275"/>
    </row>
    <row r="484" spans="2:13" ht="16.5" customHeight="1">
      <c r="B484" s="265" t="s">
        <v>2167</v>
      </c>
      <c r="C484" s="263" t="s">
        <v>880</v>
      </c>
      <c r="D484" s="263">
        <v>2</v>
      </c>
      <c r="E484" s="171">
        <v>44676</v>
      </c>
      <c r="F484" s="264">
        <v>3567810</v>
      </c>
      <c r="G484" s="268">
        <v>13166690</v>
      </c>
      <c r="H484" s="264"/>
      <c r="I484" s="264">
        <v>2</v>
      </c>
      <c r="J484" s="272"/>
      <c r="K484" s="264"/>
      <c r="L484" s="264"/>
      <c r="M484" s="275"/>
    </row>
    <row r="485" spans="2:13" ht="16.5" customHeight="1">
      <c r="B485" s="265" t="s">
        <v>2168</v>
      </c>
      <c r="C485" s="263" t="s">
        <v>881</v>
      </c>
      <c r="D485" s="263">
        <v>2</v>
      </c>
      <c r="E485" s="171">
        <v>45453</v>
      </c>
      <c r="F485" s="264">
        <v>4093750</v>
      </c>
      <c r="G485" s="268">
        <v>6392980</v>
      </c>
      <c r="H485" s="264"/>
      <c r="I485" s="264">
        <v>2</v>
      </c>
      <c r="J485" s="272"/>
      <c r="K485" s="264"/>
      <c r="L485" s="264"/>
      <c r="M485" s="275"/>
    </row>
    <row r="486" spans="2:13" ht="16.5" customHeight="1">
      <c r="B486" s="265" t="s">
        <v>2169</v>
      </c>
      <c r="C486" s="263" t="s">
        <v>882</v>
      </c>
      <c r="D486" s="263">
        <v>2</v>
      </c>
      <c r="E486" s="171">
        <v>45495</v>
      </c>
      <c r="F486" s="264">
        <v>4264590</v>
      </c>
      <c r="G486" s="268">
        <v>6169060</v>
      </c>
      <c r="H486" s="264"/>
      <c r="I486" s="264">
        <v>2</v>
      </c>
      <c r="J486" s="272"/>
      <c r="K486" s="264"/>
      <c r="L486" s="264"/>
      <c r="M486" s="275"/>
    </row>
    <row r="487" spans="2:13" ht="16.5" customHeight="1">
      <c r="B487" s="265" t="s">
        <v>2170</v>
      </c>
      <c r="C487" s="263" t="s">
        <v>883</v>
      </c>
      <c r="D487" s="263">
        <v>1</v>
      </c>
      <c r="E487" s="171">
        <v>45523</v>
      </c>
      <c r="F487" s="264">
        <v>3529476.6666666665</v>
      </c>
      <c r="G487" s="268">
        <v>4834900</v>
      </c>
      <c r="H487" s="264"/>
      <c r="I487" s="264">
        <v>2</v>
      </c>
      <c r="J487" s="272"/>
      <c r="K487" s="264"/>
      <c r="L487" s="264"/>
      <c r="M487" s="275"/>
    </row>
    <row r="488" spans="2:13" ht="16.5" customHeight="1">
      <c r="B488" s="265" t="s">
        <v>2171</v>
      </c>
      <c r="C488" s="263" t="s">
        <v>884</v>
      </c>
      <c r="D488" s="263">
        <v>2</v>
      </c>
      <c r="E488" s="171">
        <v>44186</v>
      </c>
      <c r="F488" s="264">
        <v>3038666.6666666665</v>
      </c>
      <c r="G488" s="268">
        <v>15293240</v>
      </c>
      <c r="H488" s="264"/>
      <c r="I488" s="264">
        <v>2</v>
      </c>
      <c r="J488" s="272"/>
      <c r="K488" s="264"/>
      <c r="L488" s="264"/>
      <c r="M488" s="275"/>
    </row>
    <row r="489" spans="2:13" ht="16.5" customHeight="1">
      <c r="B489" s="265" t="s">
        <v>2172</v>
      </c>
      <c r="C489" s="263" t="s">
        <v>885</v>
      </c>
      <c r="D489" s="263">
        <v>2</v>
      </c>
      <c r="E489" s="171">
        <v>44210</v>
      </c>
      <c r="F489" s="264">
        <v>2900333.3333333335</v>
      </c>
      <c r="G489" s="268">
        <v>14406320</v>
      </c>
      <c r="H489" s="264"/>
      <c r="I489" s="264">
        <v>2</v>
      </c>
      <c r="J489" s="272"/>
      <c r="K489" s="264"/>
      <c r="L489" s="264"/>
      <c r="M489" s="275"/>
    </row>
    <row r="490" spans="2:13" ht="16.5" customHeight="1">
      <c r="B490" s="265" t="s">
        <v>2173</v>
      </c>
      <c r="C490" s="263" t="s">
        <v>886</v>
      </c>
      <c r="D490" s="263">
        <v>2</v>
      </c>
      <c r="E490" s="171">
        <v>44245</v>
      </c>
      <c r="F490" s="264">
        <v>3266666.6666666665</v>
      </c>
      <c r="G490" s="268">
        <v>15912700</v>
      </c>
      <c r="H490" s="264"/>
      <c r="I490" s="264">
        <v>2</v>
      </c>
      <c r="J490" s="272"/>
      <c r="K490" s="264"/>
      <c r="L490" s="264"/>
      <c r="M490" s="275"/>
    </row>
    <row r="491" spans="2:13" ht="16.5" customHeight="1">
      <c r="B491" s="265" t="s">
        <v>2174</v>
      </c>
      <c r="C491" s="263" t="s">
        <v>887</v>
      </c>
      <c r="D491" s="263">
        <v>2</v>
      </c>
      <c r="E491" s="171">
        <v>44291</v>
      </c>
      <c r="F491" s="264">
        <v>2950333.3333333335</v>
      </c>
      <c r="G491" s="268">
        <v>13999940</v>
      </c>
      <c r="H491" s="264"/>
      <c r="I491" s="264">
        <v>2</v>
      </c>
      <c r="J491" s="272"/>
      <c r="K491" s="264"/>
      <c r="L491" s="264"/>
      <c r="M491" s="275"/>
    </row>
    <row r="492" spans="2:13" ht="16.5" customHeight="1">
      <c r="B492" s="265" t="s">
        <v>2175</v>
      </c>
      <c r="C492" s="263" t="s">
        <v>888</v>
      </c>
      <c r="D492" s="263">
        <v>1</v>
      </c>
      <c r="E492" s="171">
        <v>44385</v>
      </c>
      <c r="F492" s="264">
        <v>2901333.3333333335</v>
      </c>
      <c r="G492" s="268">
        <v>13020240</v>
      </c>
      <c r="H492" s="264"/>
      <c r="I492" s="264">
        <v>2</v>
      </c>
      <c r="J492" s="272"/>
      <c r="K492" s="264"/>
      <c r="L492" s="264"/>
      <c r="M492" s="275"/>
    </row>
    <row r="493" spans="2:13" ht="16.5" customHeight="1">
      <c r="B493" s="265" t="s">
        <v>2176</v>
      </c>
      <c r="C493" s="263" t="s">
        <v>889</v>
      </c>
      <c r="D493" s="263">
        <v>2</v>
      </c>
      <c r="E493" s="171">
        <v>44411</v>
      </c>
      <c r="F493" s="264">
        <v>2705000</v>
      </c>
      <c r="G493" s="268">
        <v>11946470</v>
      </c>
      <c r="H493" s="264"/>
      <c r="I493" s="264">
        <v>2</v>
      </c>
      <c r="J493" s="272"/>
      <c r="K493" s="264"/>
      <c r="L493" s="264"/>
      <c r="M493" s="275"/>
    </row>
    <row r="494" spans="2:13" ht="16.5" customHeight="1">
      <c r="B494" s="265" t="s">
        <v>2177</v>
      </c>
      <c r="C494" s="263" t="s">
        <v>890</v>
      </c>
      <c r="D494" s="263">
        <v>2</v>
      </c>
      <c r="E494" s="171">
        <v>44508</v>
      </c>
      <c r="F494" s="264">
        <v>2500000</v>
      </c>
      <c r="G494" s="268">
        <v>10376720</v>
      </c>
      <c r="H494" s="264"/>
      <c r="I494" s="264">
        <v>2</v>
      </c>
      <c r="J494" s="272"/>
      <c r="K494" s="264"/>
      <c r="L494" s="264"/>
      <c r="M494" s="275"/>
    </row>
    <row r="495" spans="2:13" ht="16.5" customHeight="1">
      <c r="B495" s="265" t="s">
        <v>2178</v>
      </c>
      <c r="C495" s="263" t="s">
        <v>891</v>
      </c>
      <c r="D495" s="263">
        <v>2</v>
      </c>
      <c r="E495" s="171">
        <v>44606</v>
      </c>
      <c r="F495" s="264">
        <v>2916333.3333333335</v>
      </c>
      <c r="G495" s="268">
        <v>11321770</v>
      </c>
      <c r="H495" s="264"/>
      <c r="I495" s="264">
        <v>2</v>
      </c>
      <c r="J495" s="272"/>
      <c r="K495" s="264"/>
      <c r="L495" s="264"/>
      <c r="M495" s="275"/>
    </row>
    <row r="496" spans="2:13" ht="16.5" customHeight="1">
      <c r="B496" s="265" t="s">
        <v>2179</v>
      </c>
      <c r="C496" s="263" t="s">
        <v>892</v>
      </c>
      <c r="D496" s="263">
        <v>2</v>
      </c>
      <c r="E496" s="171">
        <v>44620</v>
      </c>
      <c r="F496" s="264">
        <v>2518000</v>
      </c>
      <c r="G496" s="268">
        <v>3573500</v>
      </c>
      <c r="H496" s="264"/>
      <c r="I496" s="264">
        <v>2</v>
      </c>
      <c r="J496" s="272">
        <v>45504</v>
      </c>
      <c r="K496" s="264"/>
      <c r="L496" s="264"/>
      <c r="M496" s="275"/>
    </row>
    <row r="497" spans="2:13" ht="16.5" customHeight="1">
      <c r="B497" s="265" t="s">
        <v>2180</v>
      </c>
      <c r="C497" s="263" t="s">
        <v>893</v>
      </c>
      <c r="D497" s="263">
        <v>2</v>
      </c>
      <c r="E497" s="171">
        <v>44901</v>
      </c>
      <c r="F497" s="264">
        <v>2934333.3333333335</v>
      </c>
      <c r="G497" s="268">
        <v>9020070</v>
      </c>
      <c r="H497" s="264"/>
      <c r="I497" s="264">
        <v>2</v>
      </c>
      <c r="J497" s="272"/>
      <c r="K497" s="264"/>
      <c r="L497" s="264"/>
      <c r="M497" s="275"/>
    </row>
    <row r="498" spans="2:13" ht="16.5" customHeight="1">
      <c r="B498" s="265" t="s">
        <v>2181</v>
      </c>
      <c r="C498" s="263" t="s">
        <v>894</v>
      </c>
      <c r="D498" s="263">
        <v>2</v>
      </c>
      <c r="E498" s="171">
        <v>45008</v>
      </c>
      <c r="F498" s="264">
        <v>2702000</v>
      </c>
      <c r="G498" s="268">
        <v>7513790</v>
      </c>
      <c r="H498" s="264"/>
      <c r="I498" s="264">
        <v>2</v>
      </c>
      <c r="J498" s="272"/>
      <c r="K498" s="264"/>
      <c r="L498" s="264"/>
      <c r="M498" s="275"/>
    </row>
    <row r="499" spans="2:13" ht="16.5" customHeight="1">
      <c r="B499" s="265" t="s">
        <v>2182</v>
      </c>
      <c r="C499" s="263" t="s">
        <v>895</v>
      </c>
      <c r="D499" s="263">
        <v>2</v>
      </c>
      <c r="E499" s="171">
        <v>45111</v>
      </c>
      <c r="F499" s="264">
        <v>2800666.6666666665</v>
      </c>
      <c r="G499" s="268">
        <v>6997840</v>
      </c>
      <c r="H499" s="264"/>
      <c r="I499" s="264">
        <v>2</v>
      </c>
      <c r="J499" s="272"/>
      <c r="K499" s="264"/>
      <c r="L499" s="264"/>
      <c r="M499" s="275"/>
    </row>
    <row r="500" spans="2:13" ht="16.5" customHeight="1">
      <c r="B500" s="265" t="s">
        <v>2183</v>
      </c>
      <c r="C500" s="263" t="s">
        <v>896</v>
      </c>
      <c r="D500" s="263">
        <v>2</v>
      </c>
      <c r="E500" s="171">
        <v>45162</v>
      </c>
      <c r="F500" s="264">
        <v>2934666.6666666665</v>
      </c>
      <c r="G500" s="268">
        <v>6922600</v>
      </c>
      <c r="H500" s="264"/>
      <c r="I500" s="264">
        <v>2</v>
      </c>
      <c r="J500" s="272"/>
      <c r="K500" s="264"/>
      <c r="L500" s="264"/>
      <c r="M500" s="275"/>
    </row>
    <row r="501" spans="2:13" ht="16.5" customHeight="1">
      <c r="B501" s="265" t="s">
        <v>2184</v>
      </c>
      <c r="C501" s="263" t="s">
        <v>897</v>
      </c>
      <c r="D501" s="263">
        <v>2</v>
      </c>
      <c r="E501" s="171">
        <v>44537</v>
      </c>
      <c r="F501" s="264">
        <v>2802000</v>
      </c>
      <c r="G501" s="268">
        <v>11407600</v>
      </c>
      <c r="H501" s="264"/>
      <c r="I501" s="264">
        <v>2</v>
      </c>
      <c r="J501" s="272"/>
      <c r="K501" s="264"/>
      <c r="L501" s="264"/>
      <c r="M501" s="275"/>
    </row>
    <row r="502" spans="2:13" ht="16.5" customHeight="1">
      <c r="B502" s="265" t="s">
        <v>2185</v>
      </c>
      <c r="C502" s="263" t="s">
        <v>898</v>
      </c>
      <c r="D502" s="263">
        <v>1</v>
      </c>
      <c r="E502" s="171">
        <v>43843</v>
      </c>
      <c r="F502" s="264">
        <v>8567905.833333334</v>
      </c>
      <c r="G502" s="268">
        <v>51172700</v>
      </c>
      <c r="H502" s="264"/>
      <c r="I502" s="264">
        <v>2</v>
      </c>
      <c r="J502" s="272"/>
      <c r="K502" s="264"/>
      <c r="L502" s="264"/>
      <c r="M502" s="275"/>
    </row>
    <row r="503" spans="2:13" ht="16.5" customHeight="1">
      <c r="B503" s="265" t="s">
        <v>2186</v>
      </c>
      <c r="C503" s="263" t="s">
        <v>899</v>
      </c>
      <c r="D503" s="263">
        <v>2</v>
      </c>
      <c r="E503" s="171">
        <v>45446</v>
      </c>
      <c r="F503" s="264">
        <v>3410420</v>
      </c>
      <c r="G503" s="268">
        <v>5391270</v>
      </c>
      <c r="H503" s="264"/>
      <c r="I503" s="264">
        <v>2</v>
      </c>
      <c r="J503" s="272"/>
      <c r="K503" s="264"/>
      <c r="L503" s="264"/>
      <c r="M503" s="275"/>
    </row>
    <row r="504" spans="2:13" ht="16.5" customHeight="1">
      <c r="B504" s="265" t="s">
        <v>2187</v>
      </c>
      <c r="C504" s="263" t="s">
        <v>900</v>
      </c>
      <c r="D504" s="263">
        <v>1</v>
      </c>
      <c r="E504" s="171">
        <v>44845</v>
      </c>
      <c r="F504" s="264">
        <v>4464090</v>
      </c>
      <c r="G504" s="268">
        <v>14407400</v>
      </c>
      <c r="H504" s="264"/>
      <c r="I504" s="264">
        <v>2</v>
      </c>
      <c r="J504" s="272"/>
      <c r="K504" s="264"/>
      <c r="L504" s="264"/>
      <c r="M504" s="275"/>
    </row>
    <row r="505" spans="2:13" ht="16.5" customHeight="1">
      <c r="B505" s="265" t="s">
        <v>2188</v>
      </c>
      <c r="C505" s="263" t="s">
        <v>901</v>
      </c>
      <c r="D505" s="263">
        <v>1</v>
      </c>
      <c r="E505" s="171">
        <v>44053</v>
      </c>
      <c r="F505" s="264">
        <v>6181900</v>
      </c>
      <c r="G505" s="268">
        <v>33365330</v>
      </c>
      <c r="H505" s="264"/>
      <c r="I505" s="264">
        <v>2</v>
      </c>
      <c r="J505" s="272"/>
      <c r="K505" s="264"/>
      <c r="L505" s="264"/>
      <c r="M505" s="275"/>
    </row>
    <row r="506" spans="2:13" ht="16.5" customHeight="1">
      <c r="B506" s="265" t="s">
        <v>2189</v>
      </c>
      <c r="C506" s="263" t="s">
        <v>902</v>
      </c>
      <c r="D506" s="263">
        <v>1</v>
      </c>
      <c r="E506" s="171">
        <v>44181</v>
      </c>
      <c r="F506" s="264">
        <v>3965496.6666666665</v>
      </c>
      <c r="G506" s="268">
        <v>20012180</v>
      </c>
      <c r="H506" s="264"/>
      <c r="I506" s="264">
        <v>2</v>
      </c>
      <c r="J506" s="272"/>
      <c r="K506" s="264"/>
      <c r="L506" s="264"/>
      <c r="M506" s="275"/>
    </row>
    <row r="507" spans="2:13" ht="16.5" customHeight="1">
      <c r="B507" s="265" t="s">
        <v>2190</v>
      </c>
      <c r="C507" s="263" t="s">
        <v>903</v>
      </c>
      <c r="D507" s="263">
        <v>2</v>
      </c>
      <c r="E507" s="171">
        <v>44249</v>
      </c>
      <c r="F507" s="264">
        <v>3806086.6666666665</v>
      </c>
      <c r="G507" s="268">
        <v>18498630</v>
      </c>
      <c r="H507" s="264"/>
      <c r="I507" s="264">
        <v>2</v>
      </c>
      <c r="J507" s="272"/>
      <c r="K507" s="264"/>
      <c r="L507" s="264"/>
      <c r="M507" s="275"/>
    </row>
    <row r="508" spans="2:13" ht="16.5" customHeight="1">
      <c r="B508" s="265" t="s">
        <v>2191</v>
      </c>
      <c r="C508" s="263" t="s">
        <v>904</v>
      </c>
      <c r="D508" s="263">
        <v>1</v>
      </c>
      <c r="E508" s="171">
        <v>44523</v>
      </c>
      <c r="F508" s="264">
        <v>4620113.333333333</v>
      </c>
      <c r="G508" s="268">
        <v>18986770</v>
      </c>
      <c r="H508" s="264"/>
      <c r="I508" s="264">
        <v>2</v>
      </c>
      <c r="J508" s="272"/>
      <c r="K508" s="264"/>
      <c r="L508" s="264"/>
      <c r="M508" s="275"/>
    </row>
    <row r="509" spans="2:13" ht="16.5" customHeight="1">
      <c r="B509" s="265" t="s">
        <v>2192</v>
      </c>
      <c r="C509" s="263" t="s">
        <v>905</v>
      </c>
      <c r="D509" s="263">
        <v>2</v>
      </c>
      <c r="E509" s="171">
        <v>44595</v>
      </c>
      <c r="F509" s="264">
        <v>3396346.6666666665</v>
      </c>
      <c r="G509" s="268">
        <v>13287630</v>
      </c>
      <c r="H509" s="264"/>
      <c r="I509" s="264">
        <v>2</v>
      </c>
      <c r="J509" s="272"/>
      <c r="K509" s="264"/>
      <c r="L509" s="264"/>
      <c r="M509" s="275"/>
    </row>
    <row r="510" spans="2:13" ht="16.5" customHeight="1">
      <c r="B510" s="265" t="s">
        <v>2193</v>
      </c>
      <c r="C510" s="263" t="s">
        <v>906</v>
      </c>
      <c r="D510" s="263">
        <v>2</v>
      </c>
      <c r="E510" s="171">
        <v>45033</v>
      </c>
      <c r="F510" s="264">
        <v>3604486.6666666665</v>
      </c>
      <c r="G510" s="268">
        <v>9776560</v>
      </c>
      <c r="H510" s="264"/>
      <c r="I510" s="264">
        <v>2</v>
      </c>
      <c r="J510" s="272"/>
      <c r="K510" s="264"/>
      <c r="L510" s="264"/>
      <c r="M510" s="275"/>
    </row>
    <row r="511" spans="2:13" ht="16.5" customHeight="1">
      <c r="B511" s="265" t="s">
        <v>2194</v>
      </c>
      <c r="C511" s="263" t="s">
        <v>907</v>
      </c>
      <c r="D511" s="263">
        <v>2</v>
      </c>
      <c r="E511" s="171">
        <v>44144</v>
      </c>
      <c r="F511" s="264">
        <v>3949690</v>
      </c>
      <c r="G511" s="268">
        <v>20332790</v>
      </c>
      <c r="H511" s="264"/>
      <c r="I511" s="264">
        <v>2</v>
      </c>
      <c r="J511" s="272"/>
      <c r="K511" s="264"/>
      <c r="L511" s="264"/>
      <c r="M511" s="275"/>
    </row>
    <row r="512" spans="2:13" ht="16.5" customHeight="1">
      <c r="B512" s="265" t="s">
        <v>2195</v>
      </c>
      <c r="C512" s="263" t="s">
        <v>908</v>
      </c>
      <c r="D512" s="263">
        <v>2</v>
      </c>
      <c r="E512" s="171">
        <v>44158</v>
      </c>
      <c r="F512" s="264">
        <v>4420340</v>
      </c>
      <c r="G512" s="268">
        <v>22586130</v>
      </c>
      <c r="H512" s="264"/>
      <c r="I512" s="264">
        <v>2</v>
      </c>
      <c r="J512" s="272"/>
      <c r="K512" s="264"/>
      <c r="L512" s="264"/>
      <c r="M512" s="275"/>
    </row>
    <row r="513" spans="2:13" ht="16.5" customHeight="1">
      <c r="B513" s="265" t="s">
        <v>2196</v>
      </c>
      <c r="C513" s="263" t="s">
        <v>909</v>
      </c>
      <c r="D513" s="263">
        <v>1</v>
      </c>
      <c r="E513" s="171">
        <v>44221</v>
      </c>
      <c r="F513" s="264">
        <v>3261216.6666666665</v>
      </c>
      <c r="G513" s="268">
        <v>16100590</v>
      </c>
      <c r="H513" s="264"/>
      <c r="I513" s="264">
        <v>2</v>
      </c>
      <c r="J513" s="272"/>
      <c r="K513" s="264"/>
      <c r="L513" s="264"/>
      <c r="M513" s="275"/>
    </row>
    <row r="514" spans="2:13" ht="16.5" customHeight="1">
      <c r="B514" s="265" t="s">
        <v>2197</v>
      </c>
      <c r="C514" s="263" t="s">
        <v>910</v>
      </c>
      <c r="D514" s="263">
        <v>1</v>
      </c>
      <c r="E514" s="171">
        <v>44312</v>
      </c>
      <c r="F514" s="264">
        <v>3979680</v>
      </c>
      <c r="G514" s="268">
        <v>18655440</v>
      </c>
      <c r="H514" s="264"/>
      <c r="I514" s="264">
        <v>2</v>
      </c>
      <c r="J514" s="272"/>
      <c r="K514" s="264"/>
      <c r="L514" s="264"/>
      <c r="M514" s="275"/>
    </row>
    <row r="515" spans="2:13" ht="16.5" customHeight="1">
      <c r="B515" s="265" t="s">
        <v>2198</v>
      </c>
      <c r="C515" s="263" t="s">
        <v>911</v>
      </c>
      <c r="D515" s="263">
        <v>2</v>
      </c>
      <c r="E515" s="171">
        <v>44793</v>
      </c>
      <c r="F515" s="264">
        <v>2513955.8333333335</v>
      </c>
      <c r="G515" s="268">
        <v>8471690</v>
      </c>
      <c r="H515" s="264"/>
      <c r="I515" s="264">
        <v>2</v>
      </c>
      <c r="J515" s="272"/>
      <c r="K515" s="264"/>
      <c r="L515" s="264"/>
      <c r="M515" s="275"/>
    </row>
    <row r="516" spans="2:13" ht="16.5" customHeight="1">
      <c r="B516" s="265" t="s">
        <v>2199</v>
      </c>
      <c r="C516" s="263" t="s">
        <v>659</v>
      </c>
      <c r="D516" s="263">
        <v>2</v>
      </c>
      <c r="E516" s="171">
        <v>44662</v>
      </c>
      <c r="F516" s="264">
        <v>3300000</v>
      </c>
      <c r="G516" s="268">
        <v>12304940</v>
      </c>
      <c r="H516" s="264"/>
      <c r="I516" s="264">
        <v>2</v>
      </c>
      <c r="J516" s="272"/>
      <c r="K516" s="264"/>
      <c r="L516" s="264"/>
      <c r="M516" s="275"/>
    </row>
    <row r="517" spans="2:13" ht="16.5" customHeight="1">
      <c r="B517" s="265" t="s">
        <v>2200</v>
      </c>
      <c r="C517" s="263" t="s">
        <v>912</v>
      </c>
      <c r="D517" s="263">
        <v>1</v>
      </c>
      <c r="E517" s="171">
        <v>44511</v>
      </c>
      <c r="F517" s="264">
        <v>2300000</v>
      </c>
      <c r="G517" s="268">
        <v>9527680</v>
      </c>
      <c r="H517" s="264"/>
      <c r="I517" s="264">
        <v>2</v>
      </c>
      <c r="J517" s="272"/>
      <c r="K517" s="264"/>
      <c r="L517" s="264"/>
      <c r="M517" s="275"/>
    </row>
    <row r="518" spans="2:13" ht="16.5" customHeight="1">
      <c r="B518" s="265" t="s">
        <v>2201</v>
      </c>
      <c r="C518" s="263" t="s">
        <v>913</v>
      </c>
      <c r="D518" s="263">
        <v>2</v>
      </c>
      <c r="E518" s="171">
        <v>43807</v>
      </c>
      <c r="F518" s="264">
        <v>2300000</v>
      </c>
      <c r="G518" s="268">
        <v>13963840</v>
      </c>
      <c r="H518" s="264"/>
      <c r="I518" s="264">
        <v>2</v>
      </c>
      <c r="J518" s="272"/>
      <c r="K518" s="264"/>
      <c r="L518" s="264"/>
      <c r="M518" s="275"/>
    </row>
    <row r="519" spans="2:13" ht="16.5" customHeight="1">
      <c r="B519" s="265" t="s">
        <v>2202</v>
      </c>
      <c r="C519" s="263" t="s">
        <v>731</v>
      </c>
      <c r="D519" s="263">
        <v>2</v>
      </c>
      <c r="E519" s="171">
        <v>44494</v>
      </c>
      <c r="F519" s="264">
        <v>2619617.5</v>
      </c>
      <c r="G519" s="268">
        <v>10973690</v>
      </c>
      <c r="H519" s="264"/>
      <c r="I519" s="264">
        <v>2</v>
      </c>
      <c r="J519" s="272"/>
      <c r="K519" s="264"/>
      <c r="L519" s="264"/>
      <c r="M519" s="275"/>
    </row>
    <row r="520" spans="2:13" ht="16.5" customHeight="1">
      <c r="B520" s="265" t="s">
        <v>2203</v>
      </c>
      <c r="C520" s="263" t="s">
        <v>914</v>
      </c>
      <c r="D520" s="263">
        <v>2</v>
      </c>
      <c r="E520" s="171">
        <v>44151</v>
      </c>
      <c r="F520" s="264">
        <v>3111244.1666666665</v>
      </c>
      <c r="G520" s="268">
        <v>15956850</v>
      </c>
      <c r="H520" s="264"/>
      <c r="I520" s="264">
        <v>2</v>
      </c>
      <c r="J520" s="272"/>
      <c r="K520" s="264"/>
      <c r="L520" s="264"/>
      <c r="M520" s="275"/>
    </row>
    <row r="521" spans="2:13" ht="16.5" customHeight="1">
      <c r="B521" s="265" t="s">
        <v>2204</v>
      </c>
      <c r="C521" s="263" t="s">
        <v>915</v>
      </c>
      <c r="D521" s="263">
        <v>2</v>
      </c>
      <c r="E521" s="171">
        <v>44830</v>
      </c>
      <c r="F521" s="264">
        <v>2900000</v>
      </c>
      <c r="G521" s="268">
        <v>9478640</v>
      </c>
      <c r="H521" s="264"/>
      <c r="I521" s="264">
        <v>2</v>
      </c>
      <c r="J521" s="272"/>
      <c r="K521" s="264"/>
      <c r="L521" s="264"/>
      <c r="M521" s="275"/>
    </row>
    <row r="522" spans="2:13" ht="16.5" customHeight="1">
      <c r="B522" s="265" t="s">
        <v>2205</v>
      </c>
      <c r="C522" s="263" t="s">
        <v>916</v>
      </c>
      <c r="D522" s="263">
        <v>2</v>
      </c>
      <c r="E522" s="171">
        <v>44767</v>
      </c>
      <c r="F522" s="264">
        <v>2600000</v>
      </c>
      <c r="G522" s="268">
        <v>8946850</v>
      </c>
      <c r="H522" s="264"/>
      <c r="I522" s="264">
        <v>2</v>
      </c>
      <c r="J522" s="272"/>
      <c r="K522" s="264"/>
      <c r="L522" s="264"/>
      <c r="M522" s="275"/>
    </row>
    <row r="523" spans="2:13" ht="16.5" customHeight="1">
      <c r="B523" s="265" t="s">
        <v>2206</v>
      </c>
      <c r="C523" s="263" t="s">
        <v>917</v>
      </c>
      <c r="D523" s="263">
        <v>2</v>
      </c>
      <c r="E523" s="171">
        <v>44748</v>
      </c>
      <c r="F523" s="264">
        <v>2518940</v>
      </c>
      <c r="G523" s="268">
        <v>8799040</v>
      </c>
      <c r="H523" s="264"/>
      <c r="I523" s="264">
        <v>2</v>
      </c>
      <c r="J523" s="272"/>
      <c r="K523" s="264"/>
      <c r="L523" s="264"/>
      <c r="M523" s="275"/>
    </row>
    <row r="524" spans="2:13" ht="16.5" customHeight="1">
      <c r="B524" s="265" t="s">
        <v>2207</v>
      </c>
      <c r="C524" s="263" t="s">
        <v>918</v>
      </c>
      <c r="D524" s="263">
        <v>2</v>
      </c>
      <c r="E524" s="171">
        <v>44151</v>
      </c>
      <c r="F524" s="264">
        <v>2387580</v>
      </c>
      <c r="G524" s="268">
        <v>12245350</v>
      </c>
      <c r="H524" s="264"/>
      <c r="I524" s="264">
        <v>2</v>
      </c>
      <c r="J524" s="272"/>
      <c r="K524" s="264"/>
      <c r="L524" s="264"/>
      <c r="M524" s="275"/>
    </row>
    <row r="525" spans="2:13" ht="16.5" customHeight="1">
      <c r="B525" s="265" t="s">
        <v>2208</v>
      </c>
      <c r="C525" s="263" t="s">
        <v>919</v>
      </c>
      <c r="D525" s="263">
        <v>2</v>
      </c>
      <c r="E525" s="171">
        <v>44559</v>
      </c>
      <c r="F525" s="264">
        <v>2656500</v>
      </c>
      <c r="G525" s="268">
        <v>10655120</v>
      </c>
      <c r="H525" s="264"/>
      <c r="I525" s="264">
        <v>2</v>
      </c>
      <c r="J525" s="272"/>
      <c r="K525" s="264"/>
      <c r="L525" s="264"/>
      <c r="M525" s="275"/>
    </row>
    <row r="526" spans="2:13" ht="16.5" customHeight="1">
      <c r="B526" s="265" t="s">
        <v>2209</v>
      </c>
      <c r="C526" s="263" t="s">
        <v>920</v>
      </c>
      <c r="D526" s="263">
        <v>2</v>
      </c>
      <c r="E526" s="171">
        <v>44925</v>
      </c>
      <c r="F526" s="264">
        <v>2500000</v>
      </c>
      <c r="G526" s="268">
        <v>7520550</v>
      </c>
      <c r="H526" s="264"/>
      <c r="I526" s="264">
        <v>2</v>
      </c>
      <c r="J526" s="272"/>
      <c r="K526" s="264"/>
      <c r="L526" s="264"/>
      <c r="M526" s="275"/>
    </row>
    <row r="527" spans="2:13" ht="16.5" customHeight="1">
      <c r="B527" s="265" t="s">
        <v>2210</v>
      </c>
      <c r="C527" s="263" t="s">
        <v>921</v>
      </c>
      <c r="D527" s="263">
        <v>2</v>
      </c>
      <c r="E527" s="171">
        <v>44886</v>
      </c>
      <c r="F527" s="264">
        <v>2900000</v>
      </c>
      <c r="G527" s="268">
        <v>9033700</v>
      </c>
      <c r="H527" s="264"/>
      <c r="I527" s="264">
        <v>2</v>
      </c>
      <c r="J527" s="272"/>
      <c r="K527" s="264"/>
      <c r="L527" s="264"/>
      <c r="M527" s="275"/>
    </row>
    <row r="528" spans="2:13" ht="16.5" customHeight="1">
      <c r="B528" s="265" t="s">
        <v>2211</v>
      </c>
      <c r="C528" s="263" t="s">
        <v>922</v>
      </c>
      <c r="D528" s="263">
        <v>1</v>
      </c>
      <c r="E528" s="171">
        <v>44006</v>
      </c>
      <c r="F528" s="264">
        <v>6707264.166666667</v>
      </c>
      <c r="G528" s="268">
        <v>37064530</v>
      </c>
      <c r="H528" s="264"/>
      <c r="I528" s="264">
        <v>2</v>
      </c>
      <c r="J528" s="272"/>
      <c r="K528" s="264"/>
      <c r="L528" s="264"/>
      <c r="M528" s="275"/>
    </row>
    <row r="529" spans="2:13" ht="16.5" customHeight="1">
      <c r="B529" s="265" t="s">
        <v>2212</v>
      </c>
      <c r="C529" s="263" t="s">
        <v>680</v>
      </c>
      <c r="D529" s="263">
        <v>2</v>
      </c>
      <c r="E529" s="171">
        <v>44081</v>
      </c>
      <c r="F529" s="264">
        <v>3333403.3333333335</v>
      </c>
      <c r="G529" s="268">
        <v>17735540</v>
      </c>
      <c r="H529" s="264"/>
      <c r="I529" s="264">
        <v>2</v>
      </c>
      <c r="J529" s="272"/>
      <c r="K529" s="264"/>
      <c r="L529" s="264"/>
      <c r="M529" s="275"/>
    </row>
    <row r="530" spans="2:13" ht="16.5" customHeight="1">
      <c r="B530" s="265" t="s">
        <v>2213</v>
      </c>
      <c r="C530" s="263" t="s">
        <v>923</v>
      </c>
      <c r="D530" s="263">
        <v>2</v>
      </c>
      <c r="E530" s="171">
        <v>44273</v>
      </c>
      <c r="F530" s="264">
        <v>2777333.3333333335</v>
      </c>
      <c r="G530" s="268">
        <v>13315990</v>
      </c>
      <c r="H530" s="264"/>
      <c r="I530" s="264">
        <v>2</v>
      </c>
      <c r="J530" s="272"/>
      <c r="K530" s="264"/>
      <c r="L530" s="264"/>
      <c r="M530" s="275"/>
    </row>
    <row r="531" spans="2:13" ht="16.5" customHeight="1">
      <c r="B531" s="265" t="s">
        <v>2214</v>
      </c>
      <c r="C531" s="263" t="s">
        <v>782</v>
      </c>
      <c r="D531" s="263">
        <v>1</v>
      </c>
      <c r="E531" s="171">
        <v>44648</v>
      </c>
      <c r="F531" s="264">
        <v>5459162.5</v>
      </c>
      <c r="G531" s="268">
        <v>20565340</v>
      </c>
      <c r="H531" s="264"/>
      <c r="I531" s="264">
        <v>2</v>
      </c>
      <c r="J531" s="272"/>
      <c r="K531" s="264"/>
      <c r="L531" s="264"/>
      <c r="M531" s="275"/>
    </row>
    <row r="532" spans="2:13" ht="16.5" customHeight="1">
      <c r="B532" s="265" t="s">
        <v>2215</v>
      </c>
      <c r="C532" s="263" t="s">
        <v>924</v>
      </c>
      <c r="D532" s="263">
        <v>1</v>
      </c>
      <c r="E532" s="171">
        <v>44845</v>
      </c>
      <c r="F532" s="264">
        <v>4162257.5</v>
      </c>
      <c r="G532" s="268">
        <v>13433260</v>
      </c>
      <c r="H532" s="264"/>
      <c r="I532" s="264">
        <v>2</v>
      </c>
      <c r="J532" s="272"/>
      <c r="K532" s="264"/>
      <c r="L532" s="264"/>
      <c r="M532" s="275"/>
    </row>
    <row r="533" spans="2:13" ht="16.5" customHeight="1">
      <c r="B533" s="265" t="s">
        <v>2216</v>
      </c>
      <c r="C533" s="263" t="s">
        <v>925</v>
      </c>
      <c r="D533" s="263">
        <v>1</v>
      </c>
      <c r="E533" s="171">
        <v>43943</v>
      </c>
      <c r="F533" s="264">
        <v>4551588.333333333</v>
      </c>
      <c r="G533" s="268">
        <v>25937820</v>
      </c>
      <c r="H533" s="264"/>
      <c r="I533" s="264">
        <v>2</v>
      </c>
      <c r="J533" s="272"/>
      <c r="K533" s="264"/>
      <c r="L533" s="264"/>
      <c r="M533" s="275"/>
    </row>
    <row r="534" spans="2:13" ht="16.5" customHeight="1">
      <c r="B534" s="265" t="s">
        <v>2217</v>
      </c>
      <c r="C534" s="263" t="s">
        <v>926</v>
      </c>
      <c r="D534" s="263">
        <v>2</v>
      </c>
      <c r="E534" s="171">
        <v>44228</v>
      </c>
      <c r="F534" s="264">
        <v>5944844.166666667</v>
      </c>
      <c r="G534" s="268">
        <v>29235610</v>
      </c>
      <c r="H534" s="264"/>
      <c r="I534" s="264">
        <v>2</v>
      </c>
      <c r="J534" s="272"/>
      <c r="K534" s="264"/>
      <c r="L534" s="264"/>
      <c r="M534" s="275"/>
    </row>
    <row r="535" spans="2:13" ht="16.5" customHeight="1">
      <c r="B535" s="265" t="s">
        <v>2218</v>
      </c>
      <c r="C535" s="263" t="s">
        <v>927</v>
      </c>
      <c r="D535" s="263">
        <v>2</v>
      </c>
      <c r="E535" s="171">
        <v>44851</v>
      </c>
      <c r="F535" s="264">
        <v>4519044.166666667</v>
      </c>
      <c r="G535" s="268">
        <v>14510470</v>
      </c>
      <c r="H535" s="264"/>
      <c r="I535" s="264">
        <v>2</v>
      </c>
      <c r="J535" s="272"/>
      <c r="K535" s="264"/>
      <c r="L535" s="264"/>
      <c r="M535" s="275"/>
    </row>
    <row r="536" spans="2:13" ht="16.5" customHeight="1">
      <c r="B536" s="265" t="s">
        <v>2219</v>
      </c>
      <c r="C536" s="263" t="s">
        <v>928</v>
      </c>
      <c r="D536" s="263">
        <v>1</v>
      </c>
      <c r="E536" s="171">
        <v>45474</v>
      </c>
      <c r="F536" s="264">
        <v>3581250</v>
      </c>
      <c r="G536" s="268">
        <v>5386600</v>
      </c>
      <c r="H536" s="264"/>
      <c r="I536" s="264">
        <v>2</v>
      </c>
      <c r="J536" s="272"/>
      <c r="K536" s="264"/>
      <c r="L536" s="264"/>
      <c r="M536" s="275"/>
    </row>
    <row r="537" spans="2:13" ht="16.5" customHeight="1">
      <c r="B537" s="265" t="s">
        <v>2220</v>
      </c>
      <c r="C537" s="263" t="s">
        <v>929</v>
      </c>
      <c r="D537" s="263">
        <v>1</v>
      </c>
      <c r="E537" s="171">
        <v>41855</v>
      </c>
      <c r="F537" s="264">
        <v>6352415</v>
      </c>
      <c r="G537" s="268">
        <v>72539360</v>
      </c>
      <c r="H537" s="264"/>
      <c r="I537" s="264">
        <v>2</v>
      </c>
      <c r="J537" s="272"/>
      <c r="K537" s="264"/>
      <c r="L537" s="264"/>
      <c r="M537" s="275"/>
    </row>
    <row r="538" spans="2:13" ht="16.5" customHeight="1">
      <c r="B538" s="265" t="s">
        <v>2221</v>
      </c>
      <c r="C538" s="263" t="s">
        <v>930</v>
      </c>
      <c r="D538" s="263">
        <v>1</v>
      </c>
      <c r="E538" s="171">
        <v>43958</v>
      </c>
      <c r="F538" s="264">
        <v>5729840</v>
      </c>
      <c r="G538" s="268">
        <v>32416770</v>
      </c>
      <c r="H538" s="264"/>
      <c r="I538" s="264">
        <v>2</v>
      </c>
      <c r="J538" s="272"/>
      <c r="K538" s="264"/>
      <c r="L538" s="264"/>
      <c r="M538" s="275"/>
    </row>
    <row r="539" spans="2:13" ht="16.5" customHeight="1">
      <c r="B539" s="265" t="s">
        <v>2222</v>
      </c>
      <c r="C539" s="263" t="s">
        <v>931</v>
      </c>
      <c r="D539" s="263">
        <v>1</v>
      </c>
      <c r="E539" s="171">
        <v>44284</v>
      </c>
      <c r="F539" s="264">
        <v>3796990</v>
      </c>
      <c r="G539" s="268">
        <v>18090320</v>
      </c>
      <c r="H539" s="264"/>
      <c r="I539" s="264">
        <v>2</v>
      </c>
      <c r="J539" s="272"/>
      <c r="K539" s="264"/>
      <c r="L539" s="264"/>
      <c r="M539" s="275"/>
    </row>
    <row r="540" spans="2:13" ht="16.5" customHeight="1">
      <c r="B540" s="265" t="s">
        <v>2223</v>
      </c>
      <c r="C540" s="263" t="s">
        <v>932</v>
      </c>
      <c r="D540" s="263">
        <v>2</v>
      </c>
      <c r="E540" s="171">
        <v>44732</v>
      </c>
      <c r="F540" s="264">
        <v>3698270</v>
      </c>
      <c r="G540" s="268">
        <v>13080740</v>
      </c>
      <c r="H540" s="264"/>
      <c r="I540" s="264">
        <v>2</v>
      </c>
      <c r="J540" s="272"/>
      <c r="K540" s="264"/>
      <c r="L540" s="264"/>
      <c r="M540" s="275"/>
    </row>
    <row r="541" spans="2:13" ht="16.5" customHeight="1">
      <c r="B541" s="265" t="s">
        <v>2224</v>
      </c>
      <c r="C541" s="263" t="s">
        <v>933</v>
      </c>
      <c r="D541" s="263">
        <v>1</v>
      </c>
      <c r="E541" s="171">
        <v>40245</v>
      </c>
      <c r="F541" s="264">
        <v>5761206.666666667</v>
      </c>
      <c r="G541" s="268">
        <v>91200700</v>
      </c>
      <c r="H541" s="264"/>
      <c r="I541" s="264">
        <v>2</v>
      </c>
      <c r="J541" s="272"/>
      <c r="K541" s="264"/>
      <c r="L541" s="264"/>
      <c r="M541" s="275"/>
    </row>
    <row r="542" spans="2:13" ht="16.5" customHeight="1">
      <c r="B542" s="265" t="s">
        <v>2225</v>
      </c>
      <c r="C542" s="263" t="s">
        <v>934</v>
      </c>
      <c r="D542" s="263">
        <v>2</v>
      </c>
      <c r="E542" s="171">
        <v>43671</v>
      </c>
      <c r="F542" s="264">
        <v>3861240</v>
      </c>
      <c r="G542" s="268">
        <v>24881200</v>
      </c>
      <c r="H542" s="264"/>
      <c r="I542" s="264">
        <v>2</v>
      </c>
      <c r="J542" s="272"/>
      <c r="K542" s="264"/>
      <c r="L542" s="264"/>
      <c r="M542" s="275"/>
    </row>
    <row r="543" spans="2:13" ht="16.5" customHeight="1">
      <c r="B543" s="265" t="s">
        <v>2226</v>
      </c>
      <c r="C543" s="263" t="s">
        <v>935</v>
      </c>
      <c r="D543" s="263">
        <v>2</v>
      </c>
      <c r="E543" s="171">
        <v>44562</v>
      </c>
      <c r="F543" s="264">
        <v>4017895</v>
      </c>
      <c r="G543" s="268">
        <v>16082590</v>
      </c>
      <c r="H543" s="264"/>
      <c r="I543" s="264">
        <v>2</v>
      </c>
      <c r="J543" s="272"/>
      <c r="K543" s="264"/>
      <c r="L543" s="264"/>
      <c r="M543" s="275"/>
    </row>
    <row r="544" spans="2:13" ht="16.5" customHeight="1">
      <c r="B544" s="265" t="s">
        <v>2227</v>
      </c>
      <c r="C544" s="263" t="s">
        <v>936</v>
      </c>
      <c r="D544" s="263">
        <v>2</v>
      </c>
      <c r="E544" s="171">
        <v>44732</v>
      </c>
      <c r="F544" s="264">
        <v>3056326.6666666665</v>
      </c>
      <c r="G544" s="268">
        <v>10810190</v>
      </c>
      <c r="H544" s="264"/>
      <c r="I544" s="264">
        <v>2</v>
      </c>
      <c r="J544" s="272"/>
      <c r="K544" s="264"/>
      <c r="L544" s="264"/>
      <c r="M544" s="275"/>
    </row>
    <row r="545" spans="2:13" ht="16.5" customHeight="1">
      <c r="B545" s="265" t="s">
        <v>2228</v>
      </c>
      <c r="C545" s="263" t="s">
        <v>937</v>
      </c>
      <c r="D545" s="263">
        <v>2</v>
      </c>
      <c r="E545" s="171">
        <v>44136</v>
      </c>
      <c r="F545" s="264">
        <v>3173748.333333333</v>
      </c>
      <c r="G545" s="268">
        <v>16407850</v>
      </c>
      <c r="H545" s="264"/>
      <c r="I545" s="264">
        <v>2</v>
      </c>
      <c r="J545" s="272"/>
      <c r="K545" s="264"/>
      <c r="L545" s="264"/>
      <c r="M545" s="275"/>
    </row>
    <row r="546" spans="2:13" ht="16.5" customHeight="1">
      <c r="B546" s="265" t="s">
        <v>2229</v>
      </c>
      <c r="C546" s="263" t="s">
        <v>938</v>
      </c>
      <c r="D546" s="263">
        <v>2</v>
      </c>
      <c r="E546" s="171">
        <v>44833</v>
      </c>
      <c r="F546" s="264">
        <v>2999785.8333333335</v>
      </c>
      <c r="G546" s="268">
        <v>9780130</v>
      </c>
      <c r="H546" s="264"/>
      <c r="I546" s="264">
        <v>2</v>
      </c>
      <c r="J546" s="272"/>
      <c r="K546" s="264"/>
      <c r="L546" s="264"/>
      <c r="M546" s="275"/>
    </row>
    <row r="547" spans="2:13" ht="16.5" customHeight="1">
      <c r="B547" s="265" t="s">
        <v>2230</v>
      </c>
      <c r="C547" s="263" t="s">
        <v>939</v>
      </c>
      <c r="D547" s="263">
        <v>2</v>
      </c>
      <c r="E547" s="171">
        <v>44228</v>
      </c>
      <c r="F547" s="264">
        <v>2797536.6666666665</v>
      </c>
      <c r="G547" s="268">
        <v>13757750</v>
      </c>
      <c r="H547" s="264"/>
      <c r="I547" s="264">
        <v>2</v>
      </c>
      <c r="J547" s="272"/>
      <c r="K547" s="264"/>
      <c r="L547" s="264"/>
      <c r="M547" s="275"/>
    </row>
    <row r="548" spans="2:13" ht="16.5" customHeight="1">
      <c r="B548" s="265" t="s">
        <v>2231</v>
      </c>
      <c r="C548" s="263" t="s">
        <v>940</v>
      </c>
      <c r="D548" s="263">
        <v>2</v>
      </c>
      <c r="E548" s="171">
        <v>44348</v>
      </c>
      <c r="F548" s="264">
        <v>5688900</v>
      </c>
      <c r="G548" s="268">
        <v>26106600</v>
      </c>
      <c r="H548" s="264"/>
      <c r="I548" s="264">
        <v>2</v>
      </c>
      <c r="J548" s="272"/>
      <c r="K548" s="264"/>
      <c r="L548" s="264"/>
      <c r="M548" s="275"/>
    </row>
    <row r="549" spans="2:13" ht="16.5" customHeight="1">
      <c r="B549" s="265" t="s">
        <v>2232</v>
      </c>
      <c r="C549" s="263" t="s">
        <v>941</v>
      </c>
      <c r="D549" s="263">
        <v>2</v>
      </c>
      <c r="E549" s="171">
        <v>44067</v>
      </c>
      <c r="F549" s="264">
        <v>3204189.1666666665</v>
      </c>
      <c r="G549" s="268">
        <v>17170950</v>
      </c>
      <c r="H549" s="264"/>
      <c r="I549" s="264">
        <v>2</v>
      </c>
      <c r="J549" s="272"/>
      <c r="K549" s="264"/>
      <c r="L549" s="264"/>
      <c r="M549" s="275"/>
    </row>
    <row r="550" spans="2:13" ht="16.5" customHeight="1">
      <c r="B550" s="265" t="s">
        <v>2233</v>
      </c>
      <c r="C550" s="263" t="s">
        <v>942</v>
      </c>
      <c r="D550" s="263">
        <v>2</v>
      </c>
      <c r="E550" s="171">
        <v>44652</v>
      </c>
      <c r="F550" s="264">
        <v>5314290.833333334</v>
      </c>
      <c r="G550" s="268">
        <v>19961350</v>
      </c>
      <c r="H550" s="264"/>
      <c r="I550" s="264">
        <v>2</v>
      </c>
      <c r="J550" s="272"/>
      <c r="K550" s="264"/>
      <c r="L550" s="264"/>
      <c r="M550" s="275"/>
    </row>
    <row r="551" spans="2:13" ht="16.5" customHeight="1">
      <c r="B551" s="265" t="s">
        <v>2234</v>
      </c>
      <c r="C551" s="263" t="s">
        <v>943</v>
      </c>
      <c r="D551" s="263">
        <v>2</v>
      </c>
      <c r="E551" s="171">
        <v>44067</v>
      </c>
      <c r="F551" s="264">
        <v>3087016.6666666665</v>
      </c>
      <c r="G551" s="268">
        <v>16543030</v>
      </c>
      <c r="H551" s="264"/>
      <c r="I551" s="264">
        <v>2</v>
      </c>
      <c r="J551" s="272"/>
      <c r="K551" s="264"/>
      <c r="L551" s="264"/>
      <c r="M551" s="275"/>
    </row>
    <row r="552" spans="2:13" ht="16.5" customHeight="1">
      <c r="B552" s="265" t="s">
        <v>2235</v>
      </c>
      <c r="C552" s="263" t="s">
        <v>944</v>
      </c>
      <c r="D552" s="263">
        <v>2</v>
      </c>
      <c r="E552" s="171">
        <v>44348</v>
      </c>
      <c r="F552" s="264">
        <v>4061994.166666667</v>
      </c>
      <c r="G552" s="268">
        <v>18640660</v>
      </c>
      <c r="H552" s="264"/>
      <c r="I552" s="264">
        <v>2</v>
      </c>
      <c r="J552" s="272"/>
      <c r="K552" s="264"/>
      <c r="L552" s="264"/>
      <c r="M552" s="275"/>
    </row>
    <row r="553" spans="2:13" ht="16.5" customHeight="1">
      <c r="B553" s="265" t="s">
        <v>2236</v>
      </c>
      <c r="C553" s="263" t="s">
        <v>945</v>
      </c>
      <c r="D553" s="263">
        <v>2</v>
      </c>
      <c r="E553" s="171">
        <v>44311</v>
      </c>
      <c r="F553" s="264">
        <v>3058880</v>
      </c>
      <c r="G553" s="268">
        <v>14347410</v>
      </c>
      <c r="H553" s="264"/>
      <c r="I553" s="264">
        <v>2</v>
      </c>
      <c r="J553" s="272"/>
      <c r="K553" s="264"/>
      <c r="L553" s="264"/>
      <c r="M553" s="275"/>
    </row>
    <row r="554" spans="2:13" ht="16.5" customHeight="1">
      <c r="B554" s="265" t="s">
        <v>2237</v>
      </c>
      <c r="C554" s="263" t="s">
        <v>946</v>
      </c>
      <c r="D554" s="263">
        <v>2</v>
      </c>
      <c r="E554" s="171">
        <v>44067</v>
      </c>
      <c r="F554" s="264">
        <v>3082826.6666666665</v>
      </c>
      <c r="G554" s="268">
        <v>16520580</v>
      </c>
      <c r="H554" s="264"/>
      <c r="I554" s="264">
        <v>2</v>
      </c>
      <c r="J554" s="272"/>
      <c r="K554" s="264"/>
      <c r="L554" s="264"/>
      <c r="M554" s="275"/>
    </row>
    <row r="555" spans="2:13" ht="16.5" customHeight="1">
      <c r="B555" s="265" t="s">
        <v>2238</v>
      </c>
      <c r="C555" s="263" t="s">
        <v>947</v>
      </c>
      <c r="D555" s="263">
        <v>2</v>
      </c>
      <c r="E555" s="171">
        <v>44652</v>
      </c>
      <c r="F555" s="264">
        <v>3583828.3333333335</v>
      </c>
      <c r="G555" s="268">
        <v>13461450</v>
      </c>
      <c r="H555" s="264"/>
      <c r="I555" s="264">
        <v>2</v>
      </c>
      <c r="J555" s="272"/>
      <c r="K555" s="264"/>
      <c r="L555" s="264"/>
      <c r="M555" s="275"/>
    </row>
    <row r="556" spans="2:13" ht="16.5" customHeight="1">
      <c r="B556" s="265" t="s">
        <v>2239</v>
      </c>
      <c r="C556" s="263" t="s">
        <v>948</v>
      </c>
      <c r="D556" s="263">
        <v>2</v>
      </c>
      <c r="E556" s="171">
        <v>43955</v>
      </c>
      <c r="F556" s="264">
        <v>5030088.333333333</v>
      </c>
      <c r="G556" s="268">
        <v>28499250</v>
      </c>
      <c r="H556" s="264"/>
      <c r="I556" s="264">
        <v>2</v>
      </c>
      <c r="J556" s="272"/>
      <c r="K556" s="264"/>
      <c r="L556" s="264"/>
      <c r="M556" s="275"/>
    </row>
    <row r="557" spans="2:13" ht="16.5" customHeight="1">
      <c r="B557" s="265" t="s">
        <v>2240</v>
      </c>
      <c r="C557" s="263" t="s">
        <v>949</v>
      </c>
      <c r="D557" s="263">
        <v>2</v>
      </c>
      <c r="E557" s="171">
        <v>44067</v>
      </c>
      <c r="F557" s="264">
        <v>2994016.6666666665</v>
      </c>
      <c r="G557" s="268">
        <v>16044650</v>
      </c>
      <c r="H557" s="264"/>
      <c r="I557" s="264">
        <v>2</v>
      </c>
      <c r="J557" s="272"/>
      <c r="K557" s="264"/>
      <c r="L557" s="264"/>
      <c r="M557" s="275"/>
    </row>
    <row r="558" spans="2:13" ht="16.5" customHeight="1">
      <c r="B558" s="265" t="s">
        <v>2241</v>
      </c>
      <c r="C558" s="263" t="s">
        <v>950</v>
      </c>
      <c r="D558" s="263">
        <v>1</v>
      </c>
      <c r="E558" s="171">
        <v>43626</v>
      </c>
      <c r="F558" s="264">
        <v>5326820</v>
      </c>
      <c r="G558" s="268">
        <v>34981890</v>
      </c>
      <c r="H558" s="264"/>
      <c r="I558" s="264">
        <v>2</v>
      </c>
      <c r="J558" s="272"/>
      <c r="K558" s="264"/>
      <c r="L558" s="264"/>
      <c r="M558" s="275"/>
    </row>
    <row r="559" spans="2:13" ht="16.5" customHeight="1">
      <c r="B559" s="265" t="s">
        <v>2242</v>
      </c>
      <c r="C559" s="263" t="s">
        <v>951</v>
      </c>
      <c r="D559" s="263">
        <v>2</v>
      </c>
      <c r="E559" s="171">
        <v>44599</v>
      </c>
      <c r="F559" s="264">
        <v>3663433.3333333335</v>
      </c>
      <c r="G559" s="268">
        <v>14292410</v>
      </c>
      <c r="H559" s="264"/>
      <c r="I559" s="264">
        <v>2</v>
      </c>
      <c r="J559" s="272"/>
      <c r="K559" s="264"/>
      <c r="L559" s="264"/>
      <c r="M559" s="275"/>
    </row>
    <row r="560" spans="2:13" ht="16.5" customHeight="1">
      <c r="B560" s="265" t="s">
        <v>2243</v>
      </c>
      <c r="C560" s="263" t="s">
        <v>952</v>
      </c>
      <c r="D560" s="263">
        <v>2</v>
      </c>
      <c r="E560" s="171">
        <v>44075</v>
      </c>
      <c r="F560" s="264">
        <v>2947860</v>
      </c>
      <c r="G560" s="268">
        <v>15732690</v>
      </c>
      <c r="H560" s="264"/>
      <c r="I560" s="264">
        <v>2</v>
      </c>
      <c r="J560" s="272"/>
      <c r="K560" s="264"/>
      <c r="L560" s="264"/>
      <c r="M560" s="275"/>
    </row>
    <row r="561" spans="2:13" ht="16.5" customHeight="1">
      <c r="B561" s="265" t="s">
        <v>2244</v>
      </c>
      <c r="C561" s="263" t="s">
        <v>571</v>
      </c>
      <c r="D561" s="263">
        <v>2</v>
      </c>
      <c r="E561" s="171">
        <v>43689</v>
      </c>
      <c r="F561" s="264">
        <v>3483950</v>
      </c>
      <c r="G561" s="268">
        <v>22278190</v>
      </c>
      <c r="H561" s="264"/>
      <c r="I561" s="264">
        <v>2</v>
      </c>
      <c r="J561" s="272"/>
      <c r="K561" s="264"/>
      <c r="L561" s="264"/>
      <c r="M561" s="275"/>
    </row>
    <row r="562" spans="2:13" ht="16.5" customHeight="1">
      <c r="B562" s="265" t="s">
        <v>2245</v>
      </c>
      <c r="C562" s="263" t="s">
        <v>953</v>
      </c>
      <c r="D562" s="263">
        <v>1</v>
      </c>
      <c r="E562" s="171">
        <v>43612</v>
      </c>
      <c r="F562" s="264">
        <v>4504844.166666667</v>
      </c>
      <c r="G562" s="268">
        <v>29756660</v>
      </c>
      <c r="H562" s="264"/>
      <c r="I562" s="264">
        <v>2</v>
      </c>
      <c r="J562" s="272"/>
      <c r="K562" s="264"/>
      <c r="L562" s="264"/>
      <c r="M562" s="275"/>
    </row>
    <row r="563" spans="2:13" ht="16.5" customHeight="1">
      <c r="B563" s="265" t="s">
        <v>2246</v>
      </c>
      <c r="C563" s="263" t="s">
        <v>954</v>
      </c>
      <c r="D563" s="263">
        <v>1</v>
      </c>
      <c r="E563" s="171">
        <v>44004</v>
      </c>
      <c r="F563" s="264">
        <v>4297035</v>
      </c>
      <c r="G563" s="268">
        <v>23769080</v>
      </c>
      <c r="H563" s="264"/>
      <c r="I563" s="264">
        <v>2</v>
      </c>
      <c r="J563" s="272"/>
      <c r="K563" s="264"/>
      <c r="L563" s="264"/>
      <c r="M563" s="275"/>
    </row>
    <row r="564" spans="2:13" ht="16.5" customHeight="1">
      <c r="B564" s="265" t="s">
        <v>2247</v>
      </c>
      <c r="C564" s="263" t="s">
        <v>955</v>
      </c>
      <c r="D564" s="263">
        <v>1</v>
      </c>
      <c r="E564" s="171">
        <v>43626</v>
      </c>
      <c r="F564" s="264">
        <v>3074442.5</v>
      </c>
      <c r="G564" s="268">
        <v>20190250</v>
      </c>
      <c r="H564" s="264"/>
      <c r="I564" s="264">
        <v>2</v>
      </c>
      <c r="J564" s="272"/>
      <c r="K564" s="264"/>
      <c r="L564" s="264"/>
      <c r="M564" s="275"/>
    </row>
    <row r="565" spans="2:13" ht="16.5" customHeight="1">
      <c r="B565" s="265" t="s">
        <v>2248</v>
      </c>
      <c r="C565" s="263" t="s">
        <v>956</v>
      </c>
      <c r="D565" s="263">
        <v>1</v>
      </c>
      <c r="E565" s="171">
        <v>44221</v>
      </c>
      <c r="F565" s="264">
        <v>3670311.666666667</v>
      </c>
      <c r="G565" s="268">
        <v>18120280</v>
      </c>
      <c r="H565" s="264"/>
      <c r="I565" s="264">
        <v>2</v>
      </c>
      <c r="J565" s="272"/>
      <c r="K565" s="264"/>
      <c r="L565" s="264"/>
      <c r="M565" s="275"/>
    </row>
    <row r="566" spans="2:13" ht="16.5" customHeight="1">
      <c r="B566" s="265" t="s">
        <v>2249</v>
      </c>
      <c r="C566" s="263" t="s">
        <v>957</v>
      </c>
      <c r="D566" s="263">
        <v>1</v>
      </c>
      <c r="E566" s="171">
        <v>44221</v>
      </c>
      <c r="F566" s="264">
        <v>3364085.8333333335</v>
      </c>
      <c r="G566" s="268">
        <v>16608450</v>
      </c>
      <c r="H566" s="264"/>
      <c r="I566" s="264">
        <v>2</v>
      </c>
      <c r="J566" s="272"/>
      <c r="K566" s="264"/>
      <c r="L566" s="264"/>
      <c r="M566" s="275"/>
    </row>
    <row r="567" spans="2:13" ht="16.5" customHeight="1">
      <c r="B567" s="265" t="s">
        <v>2250</v>
      </c>
      <c r="C567" s="263" t="s">
        <v>958</v>
      </c>
      <c r="D567" s="263">
        <v>1</v>
      </c>
      <c r="E567" s="171">
        <v>44277</v>
      </c>
      <c r="F567" s="264">
        <v>3198681.666666667</v>
      </c>
      <c r="G567" s="268">
        <v>15301100</v>
      </c>
      <c r="H567" s="264"/>
      <c r="I567" s="264">
        <v>2</v>
      </c>
      <c r="J567" s="272"/>
      <c r="K567" s="264"/>
      <c r="L567" s="264"/>
      <c r="M567" s="275"/>
    </row>
    <row r="568" spans="2:13" ht="16.5" customHeight="1">
      <c r="B568" s="265" t="s">
        <v>2251</v>
      </c>
      <c r="C568" s="263" t="s">
        <v>959</v>
      </c>
      <c r="D568" s="263">
        <v>1</v>
      </c>
      <c r="E568" s="171">
        <v>44151</v>
      </c>
      <c r="F568" s="264">
        <v>2926187.5</v>
      </c>
      <c r="G568" s="268">
        <v>15007740</v>
      </c>
      <c r="H568" s="264"/>
      <c r="I568" s="264">
        <v>2</v>
      </c>
      <c r="J568" s="272"/>
      <c r="K568" s="264"/>
      <c r="L568" s="264"/>
      <c r="M568" s="275"/>
    </row>
    <row r="569" spans="2:13" ht="16.5" customHeight="1">
      <c r="B569" s="265" t="s">
        <v>2252</v>
      </c>
      <c r="C569" s="263" t="s">
        <v>960</v>
      </c>
      <c r="D569" s="263">
        <v>1</v>
      </c>
      <c r="E569" s="171">
        <v>44172</v>
      </c>
      <c r="F569" s="264">
        <v>5800625.5</v>
      </c>
      <c r="G569" s="268">
        <v>8724780</v>
      </c>
      <c r="H569" s="264"/>
      <c r="I569" s="264">
        <v>2</v>
      </c>
      <c r="J569" s="272">
        <v>45473</v>
      </c>
      <c r="K569" s="264"/>
      <c r="L569" s="264"/>
      <c r="M569" s="275"/>
    </row>
    <row r="570" spans="2:13" ht="16.5" customHeight="1">
      <c r="B570" s="265" t="s">
        <v>2253</v>
      </c>
      <c r="C570" s="263" t="s">
        <v>961</v>
      </c>
      <c r="D570" s="263">
        <v>1</v>
      </c>
      <c r="E570" s="171">
        <v>44529</v>
      </c>
      <c r="F570" s="264">
        <v>4670325</v>
      </c>
      <c r="G570" s="268">
        <v>19116350</v>
      </c>
      <c r="H570" s="264"/>
      <c r="I570" s="264">
        <v>2</v>
      </c>
      <c r="J570" s="272"/>
      <c r="K570" s="264"/>
      <c r="L570" s="264"/>
      <c r="M570" s="275"/>
    </row>
    <row r="571" spans="2:13" ht="16.5" customHeight="1">
      <c r="B571" s="265" t="s">
        <v>2254</v>
      </c>
      <c r="C571" s="263" t="s">
        <v>962</v>
      </c>
      <c r="D571" s="263">
        <v>1</v>
      </c>
      <c r="E571" s="171">
        <v>43577</v>
      </c>
      <c r="F571" s="264">
        <v>5229700</v>
      </c>
      <c r="G571" s="268">
        <v>17021600</v>
      </c>
      <c r="H571" s="264"/>
      <c r="I571" s="264">
        <v>2</v>
      </c>
      <c r="J571" s="272">
        <v>44834</v>
      </c>
      <c r="K571" s="264"/>
      <c r="L571" s="264"/>
      <c r="M571" s="275"/>
    </row>
    <row r="572" spans="2:13" ht="16.5" customHeight="1">
      <c r="B572" s="265" t="s">
        <v>2255</v>
      </c>
      <c r="C572" s="263" t="s">
        <v>963</v>
      </c>
      <c r="D572" s="263">
        <v>1</v>
      </c>
      <c r="E572" s="171">
        <v>44221</v>
      </c>
      <c r="F572" s="264">
        <v>4243645</v>
      </c>
      <c r="G572" s="268">
        <v>20950820</v>
      </c>
      <c r="H572" s="264"/>
      <c r="I572" s="264">
        <v>2</v>
      </c>
      <c r="J572" s="272"/>
      <c r="K572" s="264"/>
      <c r="L572" s="264"/>
      <c r="M572" s="275"/>
    </row>
    <row r="573" spans="2:13" ht="16.5" customHeight="1">
      <c r="B573" s="265" t="s">
        <v>2256</v>
      </c>
      <c r="C573" s="263" t="s">
        <v>964</v>
      </c>
      <c r="D573" s="263">
        <v>1</v>
      </c>
      <c r="E573" s="171">
        <v>43976</v>
      </c>
      <c r="F573" s="264">
        <v>2554185</v>
      </c>
      <c r="G573" s="268">
        <v>14324430</v>
      </c>
      <c r="H573" s="264"/>
      <c r="I573" s="264">
        <v>2</v>
      </c>
      <c r="J573" s="272"/>
      <c r="K573" s="264"/>
      <c r="L573" s="264"/>
      <c r="M573" s="275"/>
    </row>
    <row r="574" spans="2:13" ht="16.5" customHeight="1">
      <c r="B574" s="265" t="s">
        <v>2257</v>
      </c>
      <c r="C574" s="263" t="s">
        <v>965</v>
      </c>
      <c r="D574" s="263">
        <v>1</v>
      </c>
      <c r="E574" s="171">
        <v>44221</v>
      </c>
      <c r="F574" s="264">
        <v>2844815</v>
      </c>
      <c r="G574" s="268">
        <v>14044820</v>
      </c>
      <c r="H574" s="264"/>
      <c r="I574" s="264">
        <v>2</v>
      </c>
      <c r="J574" s="272"/>
      <c r="K574" s="264"/>
      <c r="L574" s="264"/>
      <c r="M574" s="275"/>
    </row>
    <row r="575" spans="2:13" ht="16.5" customHeight="1">
      <c r="B575" s="265" t="s">
        <v>2258</v>
      </c>
      <c r="C575" s="263" t="s">
        <v>966</v>
      </c>
      <c r="D575" s="263">
        <v>1</v>
      </c>
      <c r="E575" s="171">
        <v>44403</v>
      </c>
      <c r="F575" s="264">
        <v>2303668.3333333335</v>
      </c>
      <c r="G575" s="268">
        <v>10224510</v>
      </c>
      <c r="H575" s="264"/>
      <c r="I575" s="264">
        <v>2</v>
      </c>
      <c r="J575" s="272"/>
      <c r="K575" s="264"/>
      <c r="L575" s="264"/>
      <c r="M575" s="275"/>
    </row>
    <row r="576" spans="2:13" ht="16.5" customHeight="1">
      <c r="B576" s="265" t="s">
        <v>2259</v>
      </c>
      <c r="C576" s="263" t="s">
        <v>967</v>
      </c>
      <c r="D576" s="263">
        <v>1</v>
      </c>
      <c r="E576" s="171">
        <v>44340</v>
      </c>
      <c r="F576" s="264">
        <v>5368261.666666667</v>
      </c>
      <c r="G576" s="268">
        <v>24752840</v>
      </c>
      <c r="H576" s="264"/>
      <c r="I576" s="264">
        <v>2</v>
      </c>
      <c r="J576" s="272"/>
      <c r="K576" s="264"/>
      <c r="L576" s="264"/>
      <c r="M576" s="275"/>
    </row>
    <row r="577" spans="2:13" ht="16.5" customHeight="1">
      <c r="B577" s="265" t="s">
        <v>2260</v>
      </c>
      <c r="C577" s="263" t="s">
        <v>858</v>
      </c>
      <c r="D577" s="263">
        <v>1</v>
      </c>
      <c r="E577" s="171">
        <v>44368</v>
      </c>
      <c r="F577" s="264">
        <v>3721245</v>
      </c>
      <c r="G577" s="268">
        <v>16873050</v>
      </c>
      <c r="H577" s="264"/>
      <c r="I577" s="264">
        <v>2</v>
      </c>
      <c r="J577" s="272"/>
      <c r="K577" s="264"/>
      <c r="L577" s="264"/>
      <c r="M577" s="275"/>
    </row>
    <row r="578" spans="2:13" ht="16.5" customHeight="1">
      <c r="B578" s="265" t="s">
        <v>2261</v>
      </c>
      <c r="C578" s="263" t="s">
        <v>968</v>
      </c>
      <c r="D578" s="263">
        <v>1</v>
      </c>
      <c r="E578" s="171">
        <v>43976</v>
      </c>
      <c r="F578" s="264">
        <v>3352541.6666666665</v>
      </c>
      <c r="G578" s="268">
        <v>18801790</v>
      </c>
      <c r="H578" s="264"/>
      <c r="I578" s="264">
        <v>2</v>
      </c>
      <c r="J578" s="272"/>
      <c r="K578" s="264"/>
      <c r="L578" s="264"/>
      <c r="M578" s="275"/>
    </row>
    <row r="579" spans="2:13" ht="16.5" customHeight="1">
      <c r="B579" s="265" t="s">
        <v>2262</v>
      </c>
      <c r="C579" s="263" t="s">
        <v>969</v>
      </c>
      <c r="D579" s="263">
        <v>1</v>
      </c>
      <c r="E579" s="171">
        <v>44130</v>
      </c>
      <c r="F579" s="264">
        <v>3310838.3333333335</v>
      </c>
      <c r="G579" s="268">
        <v>17171010</v>
      </c>
      <c r="H579" s="264"/>
      <c r="I579" s="264">
        <v>2</v>
      </c>
      <c r="J579" s="272"/>
      <c r="K579" s="264"/>
      <c r="L579" s="264"/>
      <c r="M579" s="275"/>
    </row>
    <row r="580" spans="2:13" ht="16.5" customHeight="1">
      <c r="B580" s="265" t="s">
        <v>2263</v>
      </c>
      <c r="C580" s="263" t="s">
        <v>970</v>
      </c>
      <c r="D580" s="263">
        <v>1</v>
      </c>
      <c r="E580" s="171">
        <v>44004</v>
      </c>
      <c r="F580" s="264">
        <v>3259351.6666666665</v>
      </c>
      <c r="G580" s="268">
        <v>2982540</v>
      </c>
      <c r="H580" s="264"/>
      <c r="I580" s="264">
        <v>2</v>
      </c>
      <c r="J580" s="272">
        <v>45688</v>
      </c>
      <c r="K580" s="264">
        <v>25916930</v>
      </c>
      <c r="L580" s="264"/>
      <c r="M580" s="275"/>
    </row>
    <row r="581" spans="2:13" ht="16.5" customHeight="1">
      <c r="B581" s="265" t="s">
        <v>2264</v>
      </c>
      <c r="C581" s="263" t="s">
        <v>971</v>
      </c>
      <c r="D581" s="263">
        <v>1</v>
      </c>
      <c r="E581" s="171">
        <v>44095</v>
      </c>
      <c r="F581" s="264">
        <v>6003839.333333333</v>
      </c>
      <c r="G581" s="268">
        <v>31713440</v>
      </c>
      <c r="H581" s="264"/>
      <c r="I581" s="264">
        <v>2</v>
      </c>
      <c r="J581" s="272"/>
      <c r="K581" s="264"/>
      <c r="L581" s="264"/>
      <c r="M581" s="275"/>
    </row>
    <row r="582" spans="2:13" ht="16.5" customHeight="1">
      <c r="B582" s="265" t="s">
        <v>2265</v>
      </c>
      <c r="C582" s="263" t="s">
        <v>972</v>
      </c>
      <c r="D582" s="263">
        <v>1</v>
      </c>
      <c r="E582" s="171">
        <v>44067</v>
      </c>
      <c r="F582" s="264">
        <v>3255358.3333333335</v>
      </c>
      <c r="G582" s="268">
        <v>17445160</v>
      </c>
      <c r="H582" s="264"/>
      <c r="I582" s="264">
        <v>2</v>
      </c>
      <c r="J582" s="272"/>
      <c r="K582" s="264"/>
      <c r="L582" s="264"/>
      <c r="M582" s="275"/>
    </row>
    <row r="583" spans="2:13" ht="16.5" customHeight="1">
      <c r="B583" s="265" t="s">
        <v>2266</v>
      </c>
      <c r="C583" s="263" t="s">
        <v>973</v>
      </c>
      <c r="D583" s="263">
        <v>1</v>
      </c>
      <c r="E583" s="171">
        <v>44529</v>
      </c>
      <c r="F583" s="264">
        <v>4782049.166666666</v>
      </c>
      <c r="G583" s="268">
        <v>19573650</v>
      </c>
      <c r="H583" s="264"/>
      <c r="I583" s="264">
        <v>2</v>
      </c>
      <c r="J583" s="272"/>
      <c r="K583" s="264"/>
      <c r="L583" s="264"/>
      <c r="M583" s="275"/>
    </row>
    <row r="584" spans="2:13" ht="16.5" customHeight="1">
      <c r="B584" s="265" t="s">
        <v>2267</v>
      </c>
      <c r="C584" s="263" t="s">
        <v>974</v>
      </c>
      <c r="D584" s="263">
        <v>1</v>
      </c>
      <c r="E584" s="171">
        <v>43808</v>
      </c>
      <c r="F584" s="264">
        <v>3768055.8333333335</v>
      </c>
      <c r="G584" s="268">
        <v>3448030</v>
      </c>
      <c r="H584" s="264"/>
      <c r="I584" s="264">
        <v>2</v>
      </c>
      <c r="J584" s="272">
        <v>45688</v>
      </c>
      <c r="K584" s="264">
        <v>26661700</v>
      </c>
      <c r="L584" s="264"/>
      <c r="M584" s="275"/>
    </row>
    <row r="585" spans="2:13" ht="16.5" customHeight="1">
      <c r="B585" s="265" t="s">
        <v>2268</v>
      </c>
      <c r="C585" s="263" t="s">
        <v>975</v>
      </c>
      <c r="D585" s="263">
        <v>1</v>
      </c>
      <c r="E585" s="171">
        <v>44067</v>
      </c>
      <c r="F585" s="264">
        <v>4275360</v>
      </c>
      <c r="G585" s="268">
        <v>3584280</v>
      </c>
      <c r="H585" s="264"/>
      <c r="I585" s="264">
        <v>2</v>
      </c>
      <c r="J585" s="272">
        <v>45716</v>
      </c>
      <c r="K585" s="264">
        <v>28746400</v>
      </c>
      <c r="L585" s="264"/>
      <c r="M585" s="275"/>
    </row>
    <row r="586" spans="2:13" ht="16.5" customHeight="1">
      <c r="B586" s="265" t="s">
        <v>2269</v>
      </c>
      <c r="C586" s="263" t="s">
        <v>976</v>
      </c>
      <c r="D586" s="263">
        <v>1</v>
      </c>
      <c r="E586" s="171">
        <v>43838</v>
      </c>
      <c r="F586" s="264">
        <v>4815380</v>
      </c>
      <c r="G586" s="268">
        <v>28826320</v>
      </c>
      <c r="H586" s="264"/>
      <c r="I586" s="264">
        <v>2</v>
      </c>
      <c r="J586" s="272"/>
      <c r="K586" s="264"/>
      <c r="L586" s="264"/>
      <c r="M586" s="275"/>
    </row>
    <row r="587" spans="2:13" ht="16.5" customHeight="1">
      <c r="B587" s="265" t="s">
        <v>2270</v>
      </c>
      <c r="C587" s="263" t="s">
        <v>977</v>
      </c>
      <c r="D587" s="263">
        <v>2</v>
      </c>
      <c r="E587" s="171">
        <v>44714</v>
      </c>
      <c r="F587" s="264">
        <v>3961970</v>
      </c>
      <c r="G587" s="268">
        <v>14208820</v>
      </c>
      <c r="H587" s="264"/>
      <c r="I587" s="264">
        <v>2</v>
      </c>
      <c r="J587" s="272"/>
      <c r="K587" s="264"/>
      <c r="L587" s="264"/>
      <c r="M587" s="275"/>
    </row>
    <row r="588" spans="2:13" ht="16.5" customHeight="1">
      <c r="B588" s="265" t="s">
        <v>2271</v>
      </c>
      <c r="C588" s="263" t="s">
        <v>978</v>
      </c>
      <c r="D588" s="263">
        <v>1</v>
      </c>
      <c r="E588" s="171">
        <v>44851</v>
      </c>
      <c r="F588" s="264">
        <v>4285400</v>
      </c>
      <c r="G588" s="268">
        <v>13760250</v>
      </c>
      <c r="H588" s="264"/>
      <c r="I588" s="264">
        <v>2</v>
      </c>
      <c r="J588" s="272"/>
      <c r="K588" s="264"/>
      <c r="L588" s="264"/>
      <c r="M588" s="275"/>
    </row>
    <row r="589" spans="2:13" ht="16.5" customHeight="1">
      <c r="B589" s="265" t="s">
        <v>2272</v>
      </c>
      <c r="C589" s="263" t="s">
        <v>979</v>
      </c>
      <c r="D589" s="263">
        <v>1</v>
      </c>
      <c r="E589" s="171">
        <v>44179</v>
      </c>
      <c r="F589" s="264">
        <v>4036670</v>
      </c>
      <c r="G589" s="268">
        <v>20393480</v>
      </c>
      <c r="H589" s="264"/>
      <c r="I589" s="264">
        <v>2</v>
      </c>
      <c r="J589" s="272"/>
      <c r="K589" s="264"/>
      <c r="L589" s="264"/>
      <c r="M589" s="275"/>
    </row>
    <row r="590" spans="2:13" ht="16.5" customHeight="1">
      <c r="B590" s="265" t="s">
        <v>2273</v>
      </c>
      <c r="C590" s="263" t="s">
        <v>980</v>
      </c>
      <c r="D590" s="263">
        <v>1</v>
      </c>
      <c r="E590" s="171">
        <v>44550</v>
      </c>
      <c r="F590" s="264">
        <v>3837760</v>
      </c>
      <c r="G590" s="268">
        <v>15487730</v>
      </c>
      <c r="H590" s="264"/>
      <c r="I590" s="264">
        <v>2</v>
      </c>
      <c r="J590" s="272"/>
      <c r="K590" s="264"/>
      <c r="L590" s="264"/>
      <c r="M590" s="275"/>
    </row>
    <row r="591" spans="2:13" ht="16.5" customHeight="1">
      <c r="B591" s="265" t="s">
        <v>2274</v>
      </c>
      <c r="C591" s="263" t="s">
        <v>981</v>
      </c>
      <c r="D591" s="263">
        <v>1</v>
      </c>
      <c r="E591" s="171">
        <v>43647</v>
      </c>
      <c r="F591" s="264">
        <v>5341069.166666667</v>
      </c>
      <c r="G591" s="268">
        <v>34768170</v>
      </c>
      <c r="H591" s="264"/>
      <c r="I591" s="264">
        <v>2</v>
      </c>
      <c r="J591" s="272"/>
      <c r="K591" s="264"/>
      <c r="L591" s="264"/>
      <c r="M591" s="275"/>
    </row>
    <row r="592" spans="2:13" ht="16.5" customHeight="1">
      <c r="B592" s="265" t="s">
        <v>2275</v>
      </c>
      <c r="C592" s="263" t="s">
        <v>982</v>
      </c>
      <c r="D592" s="263">
        <v>1</v>
      </c>
      <c r="E592" s="171">
        <v>37334</v>
      </c>
      <c r="F592" s="264">
        <v>5208007.5</v>
      </c>
      <c r="G592" s="268">
        <v>102933060</v>
      </c>
      <c r="H592" s="264"/>
      <c r="I592" s="264">
        <v>2</v>
      </c>
      <c r="J592" s="272">
        <v>38808</v>
      </c>
      <c r="K592" s="264"/>
      <c r="L592" s="264"/>
      <c r="M592" s="275"/>
    </row>
    <row r="593" spans="2:13" ht="16.5" customHeight="1">
      <c r="B593" s="265" t="s">
        <v>2276</v>
      </c>
      <c r="C593" s="263" t="s">
        <v>983</v>
      </c>
      <c r="D593" s="263">
        <v>1</v>
      </c>
      <c r="E593" s="171">
        <v>44136</v>
      </c>
      <c r="F593" s="264">
        <v>4366985.833333333</v>
      </c>
      <c r="G593" s="268">
        <v>22576720</v>
      </c>
      <c r="H593" s="264"/>
      <c r="I593" s="264">
        <v>2</v>
      </c>
      <c r="J593" s="272"/>
      <c r="K593" s="264"/>
      <c r="L593" s="264"/>
      <c r="M593" s="275"/>
    </row>
    <row r="594" spans="2:13" ht="16.5" customHeight="1">
      <c r="B594" s="265" t="s">
        <v>2277</v>
      </c>
      <c r="C594" s="263" t="s">
        <v>984</v>
      </c>
      <c r="D594" s="263">
        <v>1</v>
      </c>
      <c r="E594" s="171">
        <v>44136</v>
      </c>
      <c r="F594" s="264">
        <v>5196083.333333333</v>
      </c>
      <c r="G594" s="268">
        <v>26863040</v>
      </c>
      <c r="H594" s="264"/>
      <c r="I594" s="264">
        <v>2</v>
      </c>
      <c r="J594" s="272"/>
      <c r="K594" s="264"/>
      <c r="L594" s="264"/>
      <c r="M594" s="275"/>
    </row>
    <row r="595" spans="2:13" ht="16.5" customHeight="1">
      <c r="B595" s="265" t="s">
        <v>2278</v>
      </c>
      <c r="C595" s="263" t="s">
        <v>985</v>
      </c>
      <c r="D595" s="263">
        <v>1</v>
      </c>
      <c r="E595" s="171">
        <v>44116</v>
      </c>
      <c r="F595" s="264">
        <v>4952916.666666667</v>
      </c>
      <c r="G595" s="268">
        <v>3731650</v>
      </c>
      <c r="H595" s="264"/>
      <c r="I595" s="264">
        <v>2</v>
      </c>
      <c r="J595" s="272">
        <v>45747</v>
      </c>
      <c r="K595" s="264">
        <v>20329420</v>
      </c>
      <c r="L595" s="264"/>
      <c r="M595" s="275"/>
    </row>
    <row r="596" spans="2:13" ht="16.5" customHeight="1">
      <c r="B596" s="265" t="s">
        <v>2279</v>
      </c>
      <c r="C596" s="263" t="s">
        <v>986</v>
      </c>
      <c r="D596" s="263">
        <v>1</v>
      </c>
      <c r="E596" s="171">
        <v>44249</v>
      </c>
      <c r="F596" s="264">
        <v>4901166.666666667</v>
      </c>
      <c r="G596" s="268">
        <v>23821020</v>
      </c>
      <c r="H596" s="264"/>
      <c r="I596" s="264">
        <v>2</v>
      </c>
      <c r="J596" s="272"/>
      <c r="K596" s="264"/>
      <c r="L596" s="264"/>
      <c r="M596" s="275"/>
    </row>
    <row r="597" spans="2:13" ht="16.5" customHeight="1">
      <c r="B597" s="265" t="s">
        <v>2280</v>
      </c>
      <c r="C597" s="263" t="s">
        <v>987</v>
      </c>
      <c r="D597" s="263">
        <v>1</v>
      </c>
      <c r="E597" s="171">
        <v>44312</v>
      </c>
      <c r="F597" s="264">
        <v>5518000</v>
      </c>
      <c r="G597" s="268">
        <v>25866570</v>
      </c>
      <c r="H597" s="264"/>
      <c r="I597" s="264">
        <v>2</v>
      </c>
      <c r="J597" s="272"/>
      <c r="K597" s="264"/>
      <c r="L597" s="264"/>
      <c r="M597" s="275"/>
    </row>
    <row r="598" spans="2:13" ht="16.5" customHeight="1">
      <c r="B598" s="265" t="s">
        <v>2281</v>
      </c>
      <c r="C598" s="263" t="s">
        <v>988</v>
      </c>
      <c r="D598" s="263">
        <v>1</v>
      </c>
      <c r="E598" s="171">
        <v>44466</v>
      </c>
      <c r="F598" s="264">
        <v>4835166.666666667</v>
      </c>
      <c r="G598" s="268">
        <v>4053600</v>
      </c>
      <c r="H598" s="264"/>
      <c r="I598" s="264">
        <v>2</v>
      </c>
      <c r="J598" s="272">
        <v>45716</v>
      </c>
      <c r="K598" s="264">
        <v>16824100</v>
      </c>
      <c r="L598" s="264"/>
      <c r="M598" s="275"/>
    </row>
    <row r="599" spans="2:13" ht="16.5" customHeight="1">
      <c r="B599" s="265" t="s">
        <v>2282</v>
      </c>
      <c r="C599" s="263" t="s">
        <v>989</v>
      </c>
      <c r="D599" s="263">
        <v>1</v>
      </c>
      <c r="E599" s="171">
        <v>44466</v>
      </c>
      <c r="F599" s="264">
        <v>5464666.666666667</v>
      </c>
      <c r="G599" s="268">
        <v>23310930</v>
      </c>
      <c r="H599" s="264"/>
      <c r="I599" s="264">
        <v>2</v>
      </c>
      <c r="J599" s="272"/>
      <c r="K599" s="264"/>
      <c r="L599" s="264"/>
      <c r="M599" s="275"/>
    </row>
    <row r="600" spans="2:13" ht="16.5" customHeight="1">
      <c r="B600" s="265" t="s">
        <v>2283</v>
      </c>
      <c r="C600" s="263" t="s">
        <v>990</v>
      </c>
      <c r="D600" s="263">
        <v>1</v>
      </c>
      <c r="E600" s="171">
        <v>44641</v>
      </c>
      <c r="F600" s="264">
        <v>4628916.666666667</v>
      </c>
      <c r="G600" s="268">
        <v>17526480</v>
      </c>
      <c r="H600" s="264"/>
      <c r="I600" s="264">
        <v>2</v>
      </c>
      <c r="J600" s="272"/>
      <c r="K600" s="264"/>
      <c r="L600" s="264"/>
      <c r="M600" s="275"/>
    </row>
    <row r="601" spans="2:13" ht="16.5" customHeight="1">
      <c r="B601" s="265" t="s">
        <v>2284</v>
      </c>
      <c r="C601" s="263" t="s">
        <v>991</v>
      </c>
      <c r="D601" s="263">
        <v>2</v>
      </c>
      <c r="E601" s="171">
        <v>44580</v>
      </c>
      <c r="F601" s="264">
        <v>2592180</v>
      </c>
      <c r="G601" s="268">
        <v>10247990</v>
      </c>
      <c r="H601" s="264"/>
      <c r="I601" s="264">
        <v>2</v>
      </c>
      <c r="J601" s="272"/>
      <c r="K601" s="264"/>
      <c r="L601" s="264"/>
      <c r="M601" s="275"/>
    </row>
    <row r="602" spans="2:13" ht="16.5" customHeight="1">
      <c r="B602" s="265" t="s">
        <v>2285</v>
      </c>
      <c r="C602" s="263" t="s">
        <v>992</v>
      </c>
      <c r="D602" s="263">
        <v>1</v>
      </c>
      <c r="E602" s="171">
        <v>44136</v>
      </c>
      <c r="F602" s="264">
        <v>4390500</v>
      </c>
      <c r="G602" s="268">
        <v>22698290</v>
      </c>
      <c r="H602" s="264"/>
      <c r="I602" s="264">
        <v>2</v>
      </c>
      <c r="J602" s="272"/>
      <c r="K602" s="264"/>
      <c r="L602" s="264"/>
      <c r="M602" s="275"/>
    </row>
    <row r="603" spans="2:13" ht="16.5" customHeight="1">
      <c r="B603" s="265" t="s">
        <v>2286</v>
      </c>
      <c r="C603" s="263" t="s">
        <v>993</v>
      </c>
      <c r="D603" s="263">
        <v>1</v>
      </c>
      <c r="E603" s="171">
        <v>43654</v>
      </c>
      <c r="F603" s="264">
        <v>5615500</v>
      </c>
      <c r="G603" s="268">
        <v>36446910</v>
      </c>
      <c r="H603" s="264"/>
      <c r="I603" s="264">
        <v>2</v>
      </c>
      <c r="J603" s="272"/>
      <c r="K603" s="264"/>
      <c r="L603" s="264"/>
      <c r="M603" s="275"/>
    </row>
    <row r="604" spans="2:13" ht="16.5" customHeight="1">
      <c r="B604" s="265" t="s">
        <v>2287</v>
      </c>
      <c r="C604" s="263" t="s">
        <v>994</v>
      </c>
      <c r="D604" s="263">
        <v>1</v>
      </c>
      <c r="E604" s="171">
        <v>43787</v>
      </c>
      <c r="F604" s="264">
        <v>4780833.333333333</v>
      </c>
      <c r="G604" s="268">
        <v>29287520</v>
      </c>
      <c r="H604" s="264"/>
      <c r="I604" s="264">
        <v>2</v>
      </c>
      <c r="J604" s="272"/>
      <c r="K604" s="264"/>
      <c r="L604" s="264"/>
      <c r="M604" s="275"/>
    </row>
    <row r="605" spans="2:13" ht="16.5" customHeight="1">
      <c r="B605" s="265" t="s">
        <v>2288</v>
      </c>
      <c r="C605" s="263" t="s">
        <v>995</v>
      </c>
      <c r="D605" s="263">
        <v>1</v>
      </c>
      <c r="E605" s="171">
        <v>43906</v>
      </c>
      <c r="F605" s="264">
        <v>2300000</v>
      </c>
      <c r="G605" s="268">
        <v>13340000</v>
      </c>
      <c r="H605" s="264"/>
      <c r="I605" s="264">
        <v>2</v>
      </c>
      <c r="J605" s="272"/>
      <c r="K605" s="264"/>
      <c r="L605" s="264"/>
      <c r="M605" s="275"/>
    </row>
    <row r="606" spans="2:13" ht="16.5" customHeight="1">
      <c r="B606" s="265" t="s">
        <v>2289</v>
      </c>
      <c r="C606" s="263" t="s">
        <v>996</v>
      </c>
      <c r="D606" s="263">
        <v>1</v>
      </c>
      <c r="E606" s="171">
        <v>44004</v>
      </c>
      <c r="F606" s="264">
        <v>5344916.666666667</v>
      </c>
      <c r="G606" s="268">
        <v>7585390</v>
      </c>
      <c r="H606" s="264"/>
      <c r="I606" s="264">
        <v>2</v>
      </c>
      <c r="J606" s="272">
        <v>45504</v>
      </c>
      <c r="K606" s="264"/>
      <c r="L606" s="264"/>
      <c r="M606" s="275"/>
    </row>
    <row r="607" spans="2:13" ht="16.5" customHeight="1">
      <c r="B607" s="265" t="s">
        <v>2290</v>
      </c>
      <c r="C607" s="263" t="s">
        <v>997</v>
      </c>
      <c r="D607" s="263">
        <v>1</v>
      </c>
      <c r="E607" s="171">
        <v>44095</v>
      </c>
      <c r="F607" s="264">
        <v>5303416.666666667</v>
      </c>
      <c r="G607" s="268">
        <v>28013670</v>
      </c>
      <c r="H607" s="264"/>
      <c r="I607" s="264">
        <v>2</v>
      </c>
      <c r="J607" s="272"/>
      <c r="K607" s="264"/>
      <c r="L607" s="264"/>
      <c r="M607" s="275"/>
    </row>
    <row r="608" spans="2:13" ht="16.5" customHeight="1">
      <c r="B608" s="265" t="s">
        <v>2291</v>
      </c>
      <c r="C608" s="263" t="s">
        <v>610</v>
      </c>
      <c r="D608" s="263">
        <v>1</v>
      </c>
      <c r="E608" s="171">
        <v>44130</v>
      </c>
      <c r="F608" s="264">
        <v>4990500</v>
      </c>
      <c r="G608" s="268">
        <v>25882240</v>
      </c>
      <c r="H608" s="264"/>
      <c r="I608" s="264">
        <v>2</v>
      </c>
      <c r="J608" s="272"/>
      <c r="K608" s="264"/>
      <c r="L608" s="264"/>
      <c r="M608" s="275"/>
    </row>
    <row r="609" spans="2:13" ht="16.5" customHeight="1">
      <c r="B609" s="265" t="s">
        <v>2292</v>
      </c>
      <c r="C609" s="263" t="s">
        <v>998</v>
      </c>
      <c r="D609" s="263">
        <v>1</v>
      </c>
      <c r="E609" s="171">
        <v>44151</v>
      </c>
      <c r="F609" s="264">
        <v>2300000</v>
      </c>
      <c r="G609" s="268">
        <v>3843840</v>
      </c>
      <c r="H609" s="264"/>
      <c r="I609" s="264">
        <v>2</v>
      </c>
      <c r="J609" s="272">
        <v>45412</v>
      </c>
      <c r="K609" s="264"/>
      <c r="L609" s="264"/>
      <c r="M609" s="275"/>
    </row>
    <row r="610" spans="2:13" ht="16.5" customHeight="1">
      <c r="B610" s="265" t="s">
        <v>2293</v>
      </c>
      <c r="C610" s="263" t="s">
        <v>999</v>
      </c>
      <c r="D610" s="263">
        <v>1</v>
      </c>
      <c r="E610" s="171">
        <v>44249</v>
      </c>
      <c r="F610" s="264">
        <v>4732000</v>
      </c>
      <c r="G610" s="268">
        <v>22998820</v>
      </c>
      <c r="H610" s="264"/>
      <c r="I610" s="264">
        <v>2</v>
      </c>
      <c r="J610" s="272"/>
      <c r="K610" s="264"/>
      <c r="L610" s="264"/>
      <c r="M610" s="275"/>
    </row>
    <row r="611" spans="2:13" ht="16.5" customHeight="1">
      <c r="B611" s="265" t="s">
        <v>2294</v>
      </c>
      <c r="C611" s="263" t="s">
        <v>1000</v>
      </c>
      <c r="D611" s="263">
        <v>1</v>
      </c>
      <c r="E611" s="171">
        <v>44277</v>
      </c>
      <c r="F611" s="264">
        <v>4688000</v>
      </c>
      <c r="G611" s="268">
        <v>22425340</v>
      </c>
      <c r="H611" s="264"/>
      <c r="I611" s="264">
        <v>2</v>
      </c>
      <c r="J611" s="272"/>
      <c r="K611" s="264"/>
      <c r="L611" s="264"/>
      <c r="M611" s="275"/>
    </row>
    <row r="612" spans="2:13" ht="16.5" customHeight="1">
      <c r="B612" s="265" t="s">
        <v>2295</v>
      </c>
      <c r="C612" s="263" t="s">
        <v>1001</v>
      </c>
      <c r="D612" s="263">
        <v>1</v>
      </c>
      <c r="E612" s="171">
        <v>44312</v>
      </c>
      <c r="F612" s="264">
        <v>5391583.333333333</v>
      </c>
      <c r="G612" s="268">
        <v>25273980</v>
      </c>
      <c r="H612" s="264"/>
      <c r="I612" s="264">
        <v>2</v>
      </c>
      <c r="J612" s="272"/>
      <c r="K612" s="264"/>
      <c r="L612" s="264"/>
      <c r="M612" s="275"/>
    </row>
    <row r="613" spans="2:13" ht="16.5" customHeight="1">
      <c r="B613" s="265" t="s">
        <v>2296</v>
      </c>
      <c r="C613" s="263" t="s">
        <v>1002</v>
      </c>
      <c r="D613" s="263">
        <v>1</v>
      </c>
      <c r="E613" s="171">
        <v>44340</v>
      </c>
      <c r="F613" s="264">
        <v>4974000</v>
      </c>
      <c r="G613" s="268">
        <v>22934910</v>
      </c>
      <c r="H613" s="264"/>
      <c r="I613" s="264">
        <v>2</v>
      </c>
      <c r="J613" s="272"/>
      <c r="K613" s="264"/>
      <c r="L613" s="264"/>
      <c r="M613" s="275"/>
    </row>
    <row r="614" spans="2:13" ht="16.5" customHeight="1">
      <c r="B614" s="265" t="s">
        <v>2297</v>
      </c>
      <c r="C614" s="263" t="s">
        <v>1003</v>
      </c>
      <c r="D614" s="263">
        <v>1</v>
      </c>
      <c r="E614" s="171">
        <v>44438</v>
      </c>
      <c r="F614" s="264">
        <v>2300000</v>
      </c>
      <c r="G614" s="268">
        <v>9987680</v>
      </c>
      <c r="H614" s="264"/>
      <c r="I614" s="264">
        <v>2</v>
      </c>
      <c r="J614" s="272"/>
      <c r="K614" s="264"/>
      <c r="L614" s="264"/>
      <c r="M614" s="275"/>
    </row>
    <row r="615" spans="2:13" ht="16.5" customHeight="1">
      <c r="B615" s="265" t="s">
        <v>2298</v>
      </c>
      <c r="C615" s="263" t="s">
        <v>1004</v>
      </c>
      <c r="D615" s="263">
        <v>1</v>
      </c>
      <c r="E615" s="171">
        <v>44466</v>
      </c>
      <c r="F615" s="264">
        <v>4550166.666666667</v>
      </c>
      <c r="G615" s="268">
        <v>19409890</v>
      </c>
      <c r="H615" s="264"/>
      <c r="I615" s="264">
        <v>2</v>
      </c>
      <c r="J615" s="272"/>
      <c r="K615" s="264"/>
      <c r="L615" s="264"/>
      <c r="M615" s="275"/>
    </row>
    <row r="616" spans="2:13" ht="16.5" customHeight="1">
      <c r="B616" s="265" t="s">
        <v>2299</v>
      </c>
      <c r="C616" s="263" t="s">
        <v>1005</v>
      </c>
      <c r="D616" s="263">
        <v>1</v>
      </c>
      <c r="E616" s="171">
        <v>44494</v>
      </c>
      <c r="F616" s="264">
        <v>5098250</v>
      </c>
      <c r="G616" s="268">
        <v>21356780</v>
      </c>
      <c r="H616" s="264"/>
      <c r="I616" s="264">
        <v>2</v>
      </c>
      <c r="J616" s="272"/>
      <c r="K616" s="264"/>
      <c r="L616" s="264"/>
      <c r="M616" s="275"/>
    </row>
    <row r="617" spans="2:13" ht="16.5" customHeight="1">
      <c r="B617" s="265" t="s">
        <v>2300</v>
      </c>
      <c r="C617" s="263" t="s">
        <v>1006</v>
      </c>
      <c r="D617" s="263">
        <v>1</v>
      </c>
      <c r="E617" s="171">
        <v>44613</v>
      </c>
      <c r="F617" s="264">
        <v>4748666.666666667</v>
      </c>
      <c r="G617" s="268">
        <v>18344170</v>
      </c>
      <c r="H617" s="264"/>
      <c r="I617" s="264">
        <v>2</v>
      </c>
      <c r="J617" s="272"/>
      <c r="K617" s="264"/>
      <c r="L617" s="264"/>
      <c r="M617" s="275"/>
    </row>
    <row r="618" spans="2:13" ht="16.5" customHeight="1">
      <c r="B618" s="265" t="s">
        <v>2301</v>
      </c>
      <c r="C618" s="263" t="s">
        <v>1007</v>
      </c>
      <c r="D618" s="263">
        <v>1</v>
      </c>
      <c r="E618" s="171">
        <v>44529</v>
      </c>
      <c r="F618" s="264">
        <v>5054083.333333333</v>
      </c>
      <c r="G618" s="268">
        <v>20687130</v>
      </c>
      <c r="H618" s="264"/>
      <c r="I618" s="264">
        <v>2</v>
      </c>
      <c r="J618" s="272"/>
      <c r="K618" s="264"/>
      <c r="L618" s="264"/>
      <c r="M618" s="275"/>
    </row>
    <row r="619" spans="2:13" ht="16.5" customHeight="1">
      <c r="B619" s="265" t="s">
        <v>2302</v>
      </c>
      <c r="C619" s="263" t="s">
        <v>1008</v>
      </c>
      <c r="D619" s="263">
        <v>2</v>
      </c>
      <c r="E619" s="171">
        <v>43858</v>
      </c>
      <c r="F619" s="264">
        <v>3174370</v>
      </c>
      <c r="G619" s="268">
        <v>18828800</v>
      </c>
      <c r="H619" s="264"/>
      <c r="I619" s="264">
        <v>2</v>
      </c>
      <c r="J619" s="272"/>
      <c r="K619" s="264"/>
      <c r="L619" s="264"/>
      <c r="M619" s="275"/>
    </row>
    <row r="620" spans="2:13" ht="16.5" customHeight="1">
      <c r="B620" s="265" t="s">
        <v>2303</v>
      </c>
      <c r="C620" s="263" t="s">
        <v>1009</v>
      </c>
      <c r="D620" s="263">
        <v>1</v>
      </c>
      <c r="E620" s="171">
        <v>44249</v>
      </c>
      <c r="F620" s="264">
        <v>4581000</v>
      </c>
      <c r="G620" s="268">
        <v>22264920</v>
      </c>
      <c r="H620" s="264"/>
      <c r="I620" s="264">
        <v>2</v>
      </c>
      <c r="J620" s="272"/>
      <c r="K620" s="264"/>
      <c r="L620" s="264"/>
      <c r="M620" s="275"/>
    </row>
    <row r="621" spans="2:13" ht="16.5" customHeight="1">
      <c r="B621" s="265" t="s">
        <v>2304</v>
      </c>
      <c r="C621" s="263" t="s">
        <v>1010</v>
      </c>
      <c r="D621" s="263">
        <v>1</v>
      </c>
      <c r="E621" s="171">
        <v>44004</v>
      </c>
      <c r="F621" s="264">
        <v>4580166.666666667</v>
      </c>
      <c r="G621" s="268">
        <v>25335230</v>
      </c>
      <c r="H621" s="264"/>
      <c r="I621" s="264">
        <v>2</v>
      </c>
      <c r="J621" s="272"/>
      <c r="K621" s="264"/>
      <c r="L621" s="264"/>
      <c r="M621" s="275"/>
    </row>
    <row r="622" spans="2:13" ht="16.5" customHeight="1">
      <c r="B622" s="265" t="s">
        <v>2305</v>
      </c>
      <c r="C622" s="263" t="s">
        <v>1011</v>
      </c>
      <c r="D622" s="263">
        <v>1</v>
      </c>
      <c r="E622" s="171">
        <v>44067</v>
      </c>
      <c r="F622" s="264">
        <v>4375333.333333333</v>
      </c>
      <c r="G622" s="268">
        <v>1834050</v>
      </c>
      <c r="H622" s="264"/>
      <c r="I622" s="264">
        <v>2</v>
      </c>
      <c r="J622" s="272">
        <v>45869</v>
      </c>
      <c r="K622" s="264">
        <v>24024580</v>
      </c>
      <c r="L622" s="264"/>
      <c r="M622" s="275"/>
    </row>
    <row r="623" spans="2:13" ht="16.5" customHeight="1">
      <c r="B623" s="265" t="s">
        <v>2306</v>
      </c>
      <c r="C623" s="263" t="s">
        <v>1012</v>
      </c>
      <c r="D623" s="263">
        <v>1</v>
      </c>
      <c r="E623" s="171">
        <v>44207</v>
      </c>
      <c r="F623" s="264">
        <v>4522833.333333333</v>
      </c>
      <c r="G623" s="268">
        <v>22502650</v>
      </c>
      <c r="H623" s="264"/>
      <c r="I623" s="264">
        <v>2</v>
      </c>
      <c r="J623" s="272"/>
      <c r="K623" s="264"/>
      <c r="L623" s="264"/>
      <c r="M623" s="275"/>
    </row>
    <row r="624" spans="2:13" ht="16.5" customHeight="1">
      <c r="B624" s="265" t="s">
        <v>2307</v>
      </c>
      <c r="C624" s="263" t="s">
        <v>1013</v>
      </c>
      <c r="D624" s="263">
        <v>1</v>
      </c>
      <c r="E624" s="171">
        <v>44249</v>
      </c>
      <c r="F624" s="264">
        <v>3811333.3333333335</v>
      </c>
      <c r="G624" s="268">
        <v>18524130</v>
      </c>
      <c r="H624" s="264"/>
      <c r="I624" s="264">
        <v>2</v>
      </c>
      <c r="J624" s="272"/>
      <c r="K624" s="264"/>
      <c r="L624" s="264"/>
      <c r="M624" s="275"/>
    </row>
    <row r="625" spans="2:13" ht="16.5" customHeight="1">
      <c r="B625" s="265" t="s">
        <v>2308</v>
      </c>
      <c r="C625" s="263" t="s">
        <v>1014</v>
      </c>
      <c r="D625" s="263">
        <v>1</v>
      </c>
      <c r="E625" s="171">
        <v>44403</v>
      </c>
      <c r="F625" s="264">
        <v>4313333.333333333</v>
      </c>
      <c r="G625" s="268">
        <v>19144110</v>
      </c>
      <c r="H625" s="264"/>
      <c r="I625" s="264">
        <v>2</v>
      </c>
      <c r="J625" s="272"/>
      <c r="K625" s="264"/>
      <c r="L625" s="264"/>
      <c r="M625" s="275"/>
    </row>
    <row r="626" spans="2:13" ht="16.5" customHeight="1">
      <c r="B626" s="265" t="s">
        <v>2309</v>
      </c>
      <c r="C626" s="263" t="s">
        <v>1015</v>
      </c>
      <c r="D626" s="263">
        <v>1</v>
      </c>
      <c r="E626" s="171">
        <v>44466</v>
      </c>
      <c r="F626" s="264">
        <v>4997000</v>
      </c>
      <c r="G626" s="268">
        <v>21315970</v>
      </c>
      <c r="H626" s="264"/>
      <c r="I626" s="264">
        <v>2</v>
      </c>
      <c r="J626" s="272"/>
      <c r="K626" s="264"/>
      <c r="L626" s="264"/>
      <c r="M626" s="275"/>
    </row>
    <row r="627" spans="2:13" ht="16.5" customHeight="1">
      <c r="B627" s="265" t="s">
        <v>2310</v>
      </c>
      <c r="C627" s="263" t="s">
        <v>1016</v>
      </c>
      <c r="D627" s="263">
        <v>1</v>
      </c>
      <c r="E627" s="171">
        <v>44494</v>
      </c>
      <c r="F627" s="264">
        <v>4934666.666666667</v>
      </c>
      <c r="G627" s="268">
        <v>20671530</v>
      </c>
      <c r="H627" s="264"/>
      <c r="I627" s="264">
        <v>2</v>
      </c>
      <c r="J627" s="272"/>
      <c r="K627" s="264"/>
      <c r="L627" s="264"/>
      <c r="M627" s="275"/>
    </row>
    <row r="628" spans="2:13" ht="16.5" customHeight="1">
      <c r="B628" s="265" t="s">
        <v>2311</v>
      </c>
      <c r="C628" s="263" t="s">
        <v>1017</v>
      </c>
      <c r="D628" s="263">
        <v>1</v>
      </c>
      <c r="E628" s="171">
        <v>44613</v>
      </c>
      <c r="F628" s="264">
        <v>4429000</v>
      </c>
      <c r="G628" s="268">
        <v>17109290</v>
      </c>
      <c r="H628" s="264"/>
      <c r="I628" s="264">
        <v>2</v>
      </c>
      <c r="J628" s="272"/>
      <c r="K628" s="264"/>
      <c r="L628" s="264"/>
      <c r="M628" s="275"/>
    </row>
    <row r="629" spans="2:13" ht="16.5" customHeight="1">
      <c r="B629" s="265" t="s">
        <v>2312</v>
      </c>
      <c r="C629" s="263" t="s">
        <v>1018</v>
      </c>
      <c r="D629" s="263">
        <v>1</v>
      </c>
      <c r="E629" s="171">
        <v>44676</v>
      </c>
      <c r="F629" s="264">
        <v>4511500</v>
      </c>
      <c r="G629" s="268">
        <v>16649290</v>
      </c>
      <c r="H629" s="264"/>
      <c r="I629" s="264">
        <v>2</v>
      </c>
      <c r="J629" s="272"/>
      <c r="K629" s="264"/>
      <c r="L629" s="264"/>
      <c r="M629" s="275"/>
    </row>
    <row r="630" spans="2:13" ht="16.5" customHeight="1">
      <c r="B630" s="265" t="s">
        <v>2313</v>
      </c>
      <c r="C630" s="263" t="s">
        <v>1019</v>
      </c>
      <c r="D630" s="263">
        <v>1</v>
      </c>
      <c r="E630" s="171">
        <v>44732</v>
      </c>
      <c r="F630" s="264">
        <v>3276500</v>
      </c>
      <c r="G630" s="268">
        <v>11588940</v>
      </c>
      <c r="H630" s="264"/>
      <c r="I630" s="264">
        <v>2</v>
      </c>
      <c r="J630" s="272"/>
      <c r="K630" s="264"/>
      <c r="L630" s="264"/>
      <c r="M630" s="275"/>
    </row>
    <row r="631" spans="2:13" ht="16.5" customHeight="1">
      <c r="B631" s="265" t="s">
        <v>2314</v>
      </c>
      <c r="C631" s="263" t="s">
        <v>737</v>
      </c>
      <c r="D631" s="263">
        <v>2</v>
      </c>
      <c r="E631" s="171">
        <v>44615</v>
      </c>
      <c r="F631" s="264">
        <v>2592180</v>
      </c>
      <c r="G631" s="268">
        <v>9999430</v>
      </c>
      <c r="H631" s="264"/>
      <c r="I631" s="264">
        <v>2</v>
      </c>
      <c r="J631" s="272"/>
      <c r="K631" s="264"/>
      <c r="L631" s="264"/>
      <c r="M631" s="275"/>
    </row>
    <row r="632" spans="2:13" ht="16.5" customHeight="1">
      <c r="B632" s="265" t="s">
        <v>2315</v>
      </c>
      <c r="C632" s="263" t="s">
        <v>1020</v>
      </c>
      <c r="D632" s="263">
        <v>1</v>
      </c>
      <c r="E632" s="171">
        <v>44136</v>
      </c>
      <c r="F632" s="264">
        <v>4655000</v>
      </c>
      <c r="G632" s="268">
        <v>24065720</v>
      </c>
      <c r="H632" s="264"/>
      <c r="I632" s="264">
        <v>2</v>
      </c>
      <c r="J632" s="272"/>
      <c r="K632" s="264"/>
      <c r="L632" s="264"/>
      <c r="M632" s="275"/>
    </row>
    <row r="633" spans="2:13" ht="16.5" customHeight="1">
      <c r="B633" s="265" t="s">
        <v>2316</v>
      </c>
      <c r="C633" s="263" t="s">
        <v>1021</v>
      </c>
      <c r="D633" s="263">
        <v>1</v>
      </c>
      <c r="E633" s="171">
        <v>43976</v>
      </c>
      <c r="F633" s="264">
        <v>4812750</v>
      </c>
      <c r="G633" s="268">
        <v>26990960</v>
      </c>
      <c r="H633" s="264"/>
      <c r="I633" s="264">
        <v>2</v>
      </c>
      <c r="J633" s="272"/>
      <c r="K633" s="264"/>
      <c r="L633" s="264"/>
      <c r="M633" s="275"/>
    </row>
    <row r="634" spans="2:13" ht="16.5" customHeight="1">
      <c r="B634" s="265" t="s">
        <v>2317</v>
      </c>
      <c r="C634" s="263" t="s">
        <v>1022</v>
      </c>
      <c r="D634" s="263">
        <v>1</v>
      </c>
      <c r="E634" s="171">
        <v>44004</v>
      </c>
      <c r="F634" s="264">
        <v>4737916.666666667</v>
      </c>
      <c r="G634" s="268">
        <v>4335520</v>
      </c>
      <c r="H634" s="264"/>
      <c r="I634" s="264">
        <v>2</v>
      </c>
      <c r="J634" s="272">
        <v>45688</v>
      </c>
      <c r="K634" s="264">
        <v>21209660</v>
      </c>
      <c r="L634" s="264"/>
      <c r="M634" s="275"/>
    </row>
    <row r="635" spans="2:13" ht="16.5" customHeight="1">
      <c r="B635" s="265" t="s">
        <v>2318</v>
      </c>
      <c r="C635" s="263" t="s">
        <v>1023</v>
      </c>
      <c r="D635" s="263">
        <v>1</v>
      </c>
      <c r="E635" s="171">
        <v>44221</v>
      </c>
      <c r="F635" s="264">
        <v>4665083.333333333</v>
      </c>
      <c r="G635" s="268">
        <v>23031460</v>
      </c>
      <c r="H635" s="264"/>
      <c r="I635" s="264">
        <v>2</v>
      </c>
      <c r="J635" s="272"/>
      <c r="K635" s="264"/>
      <c r="L635" s="264"/>
      <c r="M635" s="275"/>
    </row>
    <row r="636" spans="2:13" ht="16.5" customHeight="1">
      <c r="B636" s="265" t="s">
        <v>2319</v>
      </c>
      <c r="C636" s="263" t="s">
        <v>1024</v>
      </c>
      <c r="D636" s="263">
        <v>1</v>
      </c>
      <c r="E636" s="171">
        <v>44277</v>
      </c>
      <c r="F636" s="264">
        <v>5160250</v>
      </c>
      <c r="G636" s="268">
        <v>4721990</v>
      </c>
      <c r="H636" s="264"/>
      <c r="I636" s="264">
        <v>2</v>
      </c>
      <c r="J636" s="272">
        <v>45688</v>
      </c>
      <c r="K636" s="264">
        <v>18849990</v>
      </c>
      <c r="L636" s="264"/>
      <c r="M636" s="275"/>
    </row>
    <row r="637" spans="2:13" ht="16.5" customHeight="1">
      <c r="B637" s="265" t="s">
        <v>2320</v>
      </c>
      <c r="C637" s="263" t="s">
        <v>1025</v>
      </c>
      <c r="D637" s="263">
        <v>1</v>
      </c>
      <c r="E637" s="171">
        <v>44277</v>
      </c>
      <c r="F637" s="264">
        <v>5072750</v>
      </c>
      <c r="G637" s="268">
        <v>5503590</v>
      </c>
      <c r="H637" s="264"/>
      <c r="I637" s="264">
        <v>2</v>
      </c>
      <c r="J637" s="272">
        <v>45626</v>
      </c>
      <c r="K637" s="264"/>
      <c r="L637" s="264"/>
      <c r="M637" s="275"/>
    </row>
    <row r="638" spans="2:13" ht="16.5" customHeight="1">
      <c r="B638" s="265" t="s">
        <v>2321</v>
      </c>
      <c r="C638" s="263" t="s">
        <v>1026</v>
      </c>
      <c r="D638" s="263">
        <v>1</v>
      </c>
      <c r="E638" s="171">
        <v>44403</v>
      </c>
      <c r="F638" s="264">
        <v>4529500</v>
      </c>
      <c r="G638" s="268">
        <v>20103540</v>
      </c>
      <c r="H638" s="264"/>
      <c r="I638" s="264">
        <v>2</v>
      </c>
      <c r="J638" s="272"/>
      <c r="K638" s="264"/>
      <c r="L638" s="264"/>
      <c r="M638" s="275"/>
    </row>
    <row r="639" spans="2:13" ht="16.5" customHeight="1">
      <c r="B639" s="265" t="s">
        <v>2322</v>
      </c>
      <c r="C639" s="263" t="s">
        <v>1027</v>
      </c>
      <c r="D639" s="263">
        <v>1</v>
      </c>
      <c r="E639" s="171">
        <v>44858</v>
      </c>
      <c r="F639" s="264">
        <v>4579500</v>
      </c>
      <c r="G639" s="268">
        <v>14616770</v>
      </c>
      <c r="H639" s="264"/>
      <c r="I639" s="264">
        <v>2</v>
      </c>
      <c r="J639" s="272"/>
      <c r="K639" s="264"/>
      <c r="L639" s="264"/>
      <c r="M639" s="275"/>
    </row>
    <row r="640" spans="2:13" ht="16.5" customHeight="1">
      <c r="B640" s="265" t="s">
        <v>2323</v>
      </c>
      <c r="C640" s="263" t="s">
        <v>1028</v>
      </c>
      <c r="D640" s="263">
        <v>1</v>
      </c>
      <c r="E640" s="171">
        <v>45247</v>
      </c>
      <c r="F640" s="264">
        <v>4709102.5</v>
      </c>
      <c r="G640" s="268">
        <v>10011690</v>
      </c>
      <c r="H640" s="264"/>
      <c r="I640" s="264">
        <v>2</v>
      </c>
      <c r="J640" s="272"/>
      <c r="K640" s="264"/>
      <c r="L640" s="264"/>
      <c r="M640" s="275"/>
    </row>
    <row r="641" spans="2:13" ht="16.5" customHeight="1">
      <c r="B641" s="265" t="s">
        <v>2324</v>
      </c>
      <c r="C641" s="263" t="s">
        <v>1029</v>
      </c>
      <c r="D641" s="263">
        <v>1</v>
      </c>
      <c r="E641" s="171">
        <v>44249</v>
      </c>
      <c r="F641" s="264">
        <v>3855833.3333333335</v>
      </c>
      <c r="G641" s="268">
        <v>18740410</v>
      </c>
      <c r="H641" s="264"/>
      <c r="I641" s="264">
        <v>2</v>
      </c>
      <c r="J641" s="272"/>
      <c r="K641" s="264"/>
      <c r="L641" s="264"/>
      <c r="M641" s="275"/>
    </row>
    <row r="642" spans="2:13" ht="16.5" customHeight="1">
      <c r="B642" s="265" t="s">
        <v>2325</v>
      </c>
      <c r="C642" s="263" t="s">
        <v>768</v>
      </c>
      <c r="D642" s="263">
        <v>1</v>
      </c>
      <c r="E642" s="171">
        <v>44172</v>
      </c>
      <c r="F642" s="264">
        <v>4809652.5</v>
      </c>
      <c r="G642" s="268">
        <v>24390870</v>
      </c>
      <c r="H642" s="264"/>
      <c r="I642" s="264">
        <v>2</v>
      </c>
      <c r="J642" s="272"/>
      <c r="K642" s="264"/>
      <c r="L642" s="264"/>
      <c r="M642" s="275"/>
    </row>
    <row r="643" spans="2:13" ht="16.5" customHeight="1">
      <c r="B643" s="265" t="s">
        <v>2326</v>
      </c>
      <c r="C643" s="263" t="s">
        <v>1030</v>
      </c>
      <c r="D643" s="263">
        <v>1</v>
      </c>
      <c r="E643" s="171">
        <v>44277</v>
      </c>
      <c r="F643" s="264">
        <v>4954961.666666667</v>
      </c>
      <c r="G643" s="268">
        <v>23702370</v>
      </c>
      <c r="H643" s="264"/>
      <c r="I643" s="264">
        <v>2</v>
      </c>
      <c r="J643" s="272"/>
      <c r="K643" s="264"/>
      <c r="L643" s="264"/>
      <c r="M643" s="275"/>
    </row>
    <row r="644" spans="2:13" ht="16.5" customHeight="1">
      <c r="B644" s="265" t="s">
        <v>2327</v>
      </c>
      <c r="C644" s="263" t="s">
        <v>1031</v>
      </c>
      <c r="D644" s="263">
        <v>1</v>
      </c>
      <c r="E644" s="171">
        <v>44277</v>
      </c>
      <c r="F644" s="264">
        <v>3990685.833333333</v>
      </c>
      <c r="G644" s="268">
        <v>19089700</v>
      </c>
      <c r="H644" s="264"/>
      <c r="I644" s="264">
        <v>2</v>
      </c>
      <c r="J644" s="272"/>
      <c r="K644" s="264"/>
      <c r="L644" s="264"/>
      <c r="M644" s="275"/>
    </row>
    <row r="645" spans="2:13" ht="16.5" customHeight="1">
      <c r="B645" s="265" t="s">
        <v>2328</v>
      </c>
      <c r="C645" s="263" t="s">
        <v>425</v>
      </c>
      <c r="D645" s="263">
        <v>1</v>
      </c>
      <c r="E645" s="171">
        <v>44312</v>
      </c>
      <c r="F645" s="264">
        <v>4201110.833333333</v>
      </c>
      <c r="G645" s="268">
        <v>19693430</v>
      </c>
      <c r="H645" s="264"/>
      <c r="I645" s="264">
        <v>2</v>
      </c>
      <c r="J645" s="272"/>
      <c r="K645" s="264"/>
      <c r="L645" s="264"/>
      <c r="M645" s="275"/>
    </row>
    <row r="646" spans="2:13" ht="16.5" customHeight="1">
      <c r="B646" s="265" t="s">
        <v>2329</v>
      </c>
      <c r="C646" s="263" t="s">
        <v>585</v>
      </c>
      <c r="D646" s="263">
        <v>1</v>
      </c>
      <c r="E646" s="171">
        <v>44368</v>
      </c>
      <c r="F646" s="264">
        <v>2380702.5</v>
      </c>
      <c r="G646" s="268">
        <v>3580840</v>
      </c>
      <c r="H646" s="264"/>
      <c r="I646" s="264">
        <v>2</v>
      </c>
      <c r="J646" s="272">
        <v>45473</v>
      </c>
      <c r="K646" s="264"/>
      <c r="L646" s="264"/>
      <c r="M646" s="275"/>
    </row>
    <row r="647" spans="2:13" ht="16.5" customHeight="1">
      <c r="B647" s="265" t="s">
        <v>2330</v>
      </c>
      <c r="C647" s="263" t="s">
        <v>1032</v>
      </c>
      <c r="D647" s="263">
        <v>1</v>
      </c>
      <c r="E647" s="171">
        <v>44676</v>
      </c>
      <c r="F647" s="264">
        <v>3935348.3333333335</v>
      </c>
      <c r="G647" s="268">
        <v>14523060</v>
      </c>
      <c r="H647" s="264"/>
      <c r="I647" s="264">
        <v>2</v>
      </c>
      <c r="J647" s="272"/>
      <c r="K647" s="264"/>
      <c r="L647" s="264"/>
      <c r="M647" s="275"/>
    </row>
    <row r="648" spans="2:13" ht="16.5" customHeight="1">
      <c r="B648" s="265" t="s">
        <v>2331</v>
      </c>
      <c r="C648" s="263" t="s">
        <v>1033</v>
      </c>
      <c r="D648" s="263">
        <v>1</v>
      </c>
      <c r="E648" s="171">
        <v>44676</v>
      </c>
      <c r="F648" s="264">
        <v>4245519.166666667</v>
      </c>
      <c r="G648" s="268">
        <v>15667720</v>
      </c>
      <c r="H648" s="264"/>
      <c r="I648" s="264">
        <v>2</v>
      </c>
      <c r="J648" s="272"/>
      <c r="K648" s="264"/>
      <c r="L648" s="264"/>
      <c r="M648" s="275"/>
    </row>
    <row r="649" spans="2:13" ht="16.5" customHeight="1">
      <c r="B649" s="265" t="s">
        <v>2332</v>
      </c>
      <c r="C649" s="263" t="s">
        <v>592</v>
      </c>
      <c r="D649" s="263">
        <v>1</v>
      </c>
      <c r="E649" s="171">
        <v>44529</v>
      </c>
      <c r="F649" s="264">
        <v>4477862.5</v>
      </c>
      <c r="G649" s="268">
        <v>3005690</v>
      </c>
      <c r="H649" s="264"/>
      <c r="I649" s="264">
        <v>2</v>
      </c>
      <c r="J649" s="272">
        <v>45777</v>
      </c>
      <c r="K649" s="264">
        <v>14438310</v>
      </c>
      <c r="L649" s="264"/>
      <c r="M649" s="275"/>
    </row>
    <row r="650" spans="2:13" ht="16.5" customHeight="1">
      <c r="B650" s="265" t="s">
        <v>2333</v>
      </c>
      <c r="C650" s="263" t="s">
        <v>1034</v>
      </c>
      <c r="D650" s="263">
        <v>2</v>
      </c>
      <c r="E650" s="171">
        <v>44182</v>
      </c>
      <c r="F650" s="264">
        <v>2841160</v>
      </c>
      <c r="G650" s="268">
        <v>14330350</v>
      </c>
      <c r="H650" s="264"/>
      <c r="I650" s="264">
        <v>2</v>
      </c>
      <c r="J650" s="272"/>
      <c r="K650" s="264"/>
      <c r="L650" s="264"/>
      <c r="M650" s="275"/>
    </row>
    <row r="651" spans="2:13" ht="16.5" customHeight="1">
      <c r="B651" s="265" t="s">
        <v>2334</v>
      </c>
      <c r="C651" s="263" t="s">
        <v>1035</v>
      </c>
      <c r="D651" s="263">
        <v>1</v>
      </c>
      <c r="E651" s="171">
        <v>44136</v>
      </c>
      <c r="F651" s="264">
        <v>4613582.5</v>
      </c>
      <c r="G651" s="268">
        <v>23851590</v>
      </c>
      <c r="H651" s="264"/>
      <c r="I651" s="264">
        <v>2</v>
      </c>
      <c r="J651" s="272"/>
      <c r="K651" s="264"/>
      <c r="L651" s="264"/>
      <c r="M651" s="275"/>
    </row>
    <row r="652" spans="2:13" ht="16.5" customHeight="1">
      <c r="B652" s="265" t="s">
        <v>2335</v>
      </c>
      <c r="C652" s="263" t="s">
        <v>1036</v>
      </c>
      <c r="D652" s="263">
        <v>1</v>
      </c>
      <c r="E652" s="171">
        <v>44193</v>
      </c>
      <c r="F652" s="264">
        <v>3904666.6666666665</v>
      </c>
      <c r="G652" s="268">
        <v>19576830</v>
      </c>
      <c r="H652" s="264"/>
      <c r="I652" s="264">
        <v>2</v>
      </c>
      <c r="J652" s="272"/>
      <c r="K652" s="264"/>
      <c r="L652" s="264"/>
      <c r="M652" s="275"/>
    </row>
    <row r="653" spans="2:13" ht="16.5" customHeight="1">
      <c r="B653" s="265" t="s">
        <v>2336</v>
      </c>
      <c r="C653" s="263" t="s">
        <v>1037</v>
      </c>
      <c r="D653" s="263">
        <v>1</v>
      </c>
      <c r="E653" s="171">
        <v>44403</v>
      </c>
      <c r="F653" s="264">
        <v>3833583.3333333335</v>
      </c>
      <c r="G653" s="268">
        <v>17014810</v>
      </c>
      <c r="H653" s="264"/>
      <c r="I653" s="264">
        <v>2</v>
      </c>
      <c r="J653" s="272"/>
      <c r="K653" s="264"/>
      <c r="L653" s="264"/>
      <c r="M653" s="275"/>
    </row>
    <row r="654" spans="2:13" ht="16.5" customHeight="1">
      <c r="B654" s="265" t="s">
        <v>2337</v>
      </c>
      <c r="C654" s="263" t="s">
        <v>1038</v>
      </c>
      <c r="D654" s="263">
        <v>1</v>
      </c>
      <c r="E654" s="171">
        <v>44466</v>
      </c>
      <c r="F654" s="264">
        <v>3894916.6666666665</v>
      </c>
      <c r="G654" s="268">
        <v>16614760</v>
      </c>
      <c r="H654" s="264"/>
      <c r="I654" s="264">
        <v>2</v>
      </c>
      <c r="J654" s="272"/>
      <c r="K654" s="264"/>
      <c r="L654" s="264"/>
      <c r="M654" s="275"/>
    </row>
    <row r="655" spans="2:13" ht="16.5" customHeight="1">
      <c r="B655" s="265" t="s">
        <v>2338</v>
      </c>
      <c r="C655" s="263" t="s">
        <v>1039</v>
      </c>
      <c r="D655" s="263">
        <v>1</v>
      </c>
      <c r="E655" s="171">
        <v>44858</v>
      </c>
      <c r="F655" s="264">
        <v>3580000</v>
      </c>
      <c r="G655" s="268">
        <v>11426580</v>
      </c>
      <c r="H655" s="264"/>
      <c r="I655" s="264">
        <v>2</v>
      </c>
      <c r="J655" s="272"/>
      <c r="K655" s="264"/>
      <c r="L655" s="264"/>
      <c r="M655" s="275"/>
    </row>
    <row r="656" spans="2:13" ht="16.5" customHeight="1">
      <c r="B656" s="265" t="s">
        <v>2339</v>
      </c>
      <c r="C656" s="263" t="s">
        <v>1040</v>
      </c>
      <c r="D656" s="263">
        <v>1</v>
      </c>
      <c r="E656" s="171">
        <v>44151</v>
      </c>
      <c r="F656" s="264">
        <v>4543885</v>
      </c>
      <c r="G656" s="268">
        <v>23304530</v>
      </c>
      <c r="H656" s="264"/>
      <c r="I656" s="264">
        <v>2</v>
      </c>
      <c r="J656" s="272"/>
      <c r="K656" s="264"/>
      <c r="L656" s="264"/>
      <c r="M656" s="275"/>
    </row>
    <row r="657" spans="2:13" ht="16.5" customHeight="1">
      <c r="B657" s="265" t="s">
        <v>2340</v>
      </c>
      <c r="C657" s="263" t="s">
        <v>1041</v>
      </c>
      <c r="D657" s="263">
        <v>1</v>
      </c>
      <c r="E657" s="171">
        <v>44438</v>
      </c>
      <c r="F657" s="264">
        <v>2300000</v>
      </c>
      <c r="G657" s="268">
        <v>9987680</v>
      </c>
      <c r="H657" s="264"/>
      <c r="I657" s="264">
        <v>2</v>
      </c>
      <c r="J657" s="272"/>
      <c r="K657" s="264"/>
      <c r="L657" s="264"/>
      <c r="M657" s="275"/>
    </row>
    <row r="658" spans="2:13" ht="16.5" customHeight="1">
      <c r="B658" s="265" t="s">
        <v>2341</v>
      </c>
      <c r="C658" s="263" t="s">
        <v>1042</v>
      </c>
      <c r="D658" s="263">
        <v>1</v>
      </c>
      <c r="E658" s="171">
        <v>45231</v>
      </c>
      <c r="F658" s="264">
        <v>4628016.666666666</v>
      </c>
      <c r="G658" s="268">
        <v>10042170</v>
      </c>
      <c r="H658" s="264"/>
      <c r="I658" s="264">
        <v>2</v>
      </c>
      <c r="J658" s="272"/>
      <c r="K658" s="264"/>
      <c r="L658" s="264"/>
      <c r="M658" s="275"/>
    </row>
    <row r="659" spans="2:13" ht="16.5" customHeight="1">
      <c r="B659" s="265" t="s">
        <v>2342</v>
      </c>
      <c r="C659" s="263" t="s">
        <v>1043</v>
      </c>
      <c r="D659" s="263">
        <v>1</v>
      </c>
      <c r="E659" s="171">
        <v>45244</v>
      </c>
      <c r="F659" s="264">
        <v>4766612.5</v>
      </c>
      <c r="G659" s="268">
        <v>10173130</v>
      </c>
      <c r="H659" s="264"/>
      <c r="I659" s="264">
        <v>2</v>
      </c>
      <c r="J659" s="272"/>
      <c r="K659" s="264"/>
      <c r="L659" s="264"/>
      <c r="M659" s="275"/>
    </row>
    <row r="660" spans="2:13" ht="16.5" customHeight="1">
      <c r="B660" s="265" t="s">
        <v>2343</v>
      </c>
      <c r="C660" s="263" t="s">
        <v>1044</v>
      </c>
      <c r="D660" s="263">
        <v>2</v>
      </c>
      <c r="E660" s="171">
        <v>44403</v>
      </c>
      <c r="F660" s="264">
        <v>2688820</v>
      </c>
      <c r="G660" s="268">
        <v>11933950</v>
      </c>
      <c r="H660" s="264"/>
      <c r="I660" s="264">
        <v>2</v>
      </c>
      <c r="J660" s="272"/>
      <c r="K660" s="264"/>
      <c r="L660" s="264"/>
      <c r="M660" s="275"/>
    </row>
    <row r="661" spans="2:13" ht="16.5" customHeight="1">
      <c r="B661" s="265" t="s">
        <v>2344</v>
      </c>
      <c r="C661" s="263" t="s">
        <v>421</v>
      </c>
      <c r="D661" s="263">
        <v>2</v>
      </c>
      <c r="E661" s="171">
        <v>44095</v>
      </c>
      <c r="F661" s="264">
        <v>3124731.6666666665</v>
      </c>
      <c r="G661" s="268">
        <v>16505440</v>
      </c>
      <c r="H661" s="264"/>
      <c r="I661" s="264">
        <v>2</v>
      </c>
      <c r="J661" s="272"/>
      <c r="K661" s="264"/>
      <c r="L661" s="264"/>
      <c r="M661" s="275"/>
    </row>
    <row r="662" spans="2:13" ht="16.5" customHeight="1">
      <c r="B662" s="265" t="s">
        <v>2345</v>
      </c>
      <c r="C662" s="263" t="s">
        <v>1045</v>
      </c>
      <c r="D662" s="263">
        <v>1</v>
      </c>
      <c r="E662" s="171">
        <v>44136</v>
      </c>
      <c r="F662" s="264">
        <v>4526065.833333333</v>
      </c>
      <c r="G662" s="268">
        <v>3794460</v>
      </c>
      <c r="H662" s="264"/>
      <c r="I662" s="264">
        <v>2</v>
      </c>
      <c r="J662" s="272">
        <v>45716</v>
      </c>
      <c r="K662" s="264">
        <v>22193490</v>
      </c>
      <c r="L662" s="264"/>
      <c r="M662" s="275"/>
    </row>
    <row r="663" spans="2:13" ht="16.5" customHeight="1">
      <c r="B663" s="265" t="s">
        <v>2346</v>
      </c>
      <c r="C663" s="263" t="s">
        <v>1046</v>
      </c>
      <c r="D663" s="263">
        <v>1</v>
      </c>
      <c r="E663" s="171">
        <v>44130</v>
      </c>
      <c r="F663" s="264">
        <v>5050333.333333333</v>
      </c>
      <c r="G663" s="268">
        <v>26192560</v>
      </c>
      <c r="H663" s="264"/>
      <c r="I663" s="264">
        <v>2</v>
      </c>
      <c r="J663" s="272"/>
      <c r="K663" s="264"/>
      <c r="L663" s="264"/>
      <c r="M663" s="275"/>
    </row>
    <row r="664" spans="2:13" ht="16.5" customHeight="1">
      <c r="B664" s="265" t="s">
        <v>2347</v>
      </c>
      <c r="C664" s="263" t="s">
        <v>1047</v>
      </c>
      <c r="D664" s="263">
        <v>1</v>
      </c>
      <c r="E664" s="171">
        <v>44207</v>
      </c>
      <c r="F664" s="264">
        <v>4481666.666666667</v>
      </c>
      <c r="G664" s="268">
        <v>22297830</v>
      </c>
      <c r="H664" s="264"/>
      <c r="I664" s="264">
        <v>2</v>
      </c>
      <c r="J664" s="272"/>
      <c r="K664" s="264"/>
      <c r="L664" s="264"/>
      <c r="M664" s="275"/>
    </row>
    <row r="665" spans="2:13" ht="16.5" customHeight="1">
      <c r="B665" s="265" t="s">
        <v>2348</v>
      </c>
      <c r="C665" s="263" t="s">
        <v>1048</v>
      </c>
      <c r="D665" s="263">
        <v>1</v>
      </c>
      <c r="E665" s="171">
        <v>44277</v>
      </c>
      <c r="F665" s="264">
        <v>4515000</v>
      </c>
      <c r="G665" s="268">
        <v>21597790</v>
      </c>
      <c r="H665" s="264"/>
      <c r="I665" s="264">
        <v>2</v>
      </c>
      <c r="J665" s="272"/>
      <c r="K665" s="264"/>
      <c r="L665" s="264"/>
      <c r="M665" s="275"/>
    </row>
    <row r="666" spans="2:13" ht="16.5" customHeight="1">
      <c r="B666" s="265" t="s">
        <v>2349</v>
      </c>
      <c r="C666" s="263" t="s">
        <v>1049</v>
      </c>
      <c r="D666" s="263">
        <v>1</v>
      </c>
      <c r="E666" s="171">
        <v>44277</v>
      </c>
      <c r="F666" s="264">
        <v>2300000</v>
      </c>
      <c r="G666" s="268">
        <v>11002200</v>
      </c>
      <c r="H666" s="264"/>
      <c r="I666" s="264">
        <v>2</v>
      </c>
      <c r="J666" s="272"/>
      <c r="K666" s="264"/>
      <c r="L666" s="264"/>
      <c r="M666" s="275"/>
    </row>
    <row r="667" spans="2:13" ht="16.5" customHeight="1">
      <c r="B667" s="265" t="s">
        <v>2350</v>
      </c>
      <c r="C667" s="263" t="s">
        <v>1050</v>
      </c>
      <c r="D667" s="263">
        <v>1</v>
      </c>
      <c r="E667" s="171">
        <v>44340</v>
      </c>
      <c r="F667" s="264">
        <v>2300000</v>
      </c>
      <c r="G667" s="268">
        <v>10605210</v>
      </c>
      <c r="H667" s="264"/>
      <c r="I667" s="264">
        <v>2</v>
      </c>
      <c r="J667" s="272"/>
      <c r="K667" s="264"/>
      <c r="L667" s="264"/>
      <c r="M667" s="275"/>
    </row>
    <row r="668" spans="2:13" ht="16.5" customHeight="1">
      <c r="B668" s="265" t="s">
        <v>2351</v>
      </c>
      <c r="C668" s="263" t="s">
        <v>1051</v>
      </c>
      <c r="D668" s="263">
        <v>1</v>
      </c>
      <c r="E668" s="171">
        <v>44438</v>
      </c>
      <c r="F668" s="264">
        <v>5330333.333333333</v>
      </c>
      <c r="G668" s="268">
        <v>23146790</v>
      </c>
      <c r="H668" s="264"/>
      <c r="I668" s="264">
        <v>2</v>
      </c>
      <c r="J668" s="272"/>
      <c r="K668" s="264"/>
      <c r="L668" s="264"/>
      <c r="M668" s="275"/>
    </row>
    <row r="669" spans="2:13" ht="16.5" customHeight="1">
      <c r="B669" s="265" t="s">
        <v>2352</v>
      </c>
      <c r="C669" s="263" t="s">
        <v>1052</v>
      </c>
      <c r="D669" s="263">
        <v>1</v>
      </c>
      <c r="E669" s="171">
        <v>44095</v>
      </c>
      <c r="F669" s="264">
        <v>2724402.5</v>
      </c>
      <c r="G669" s="268">
        <v>3866420</v>
      </c>
      <c r="H669" s="264"/>
      <c r="I669" s="264">
        <v>2</v>
      </c>
      <c r="J669" s="272">
        <v>45504</v>
      </c>
      <c r="K669" s="264"/>
      <c r="L669" s="264"/>
      <c r="M669" s="275"/>
    </row>
    <row r="670" spans="2:13" ht="16.5" customHeight="1">
      <c r="B670" s="265" t="s">
        <v>2353</v>
      </c>
      <c r="C670" s="263" t="s">
        <v>1053</v>
      </c>
      <c r="D670" s="263">
        <v>1</v>
      </c>
      <c r="E670" s="171">
        <v>44312</v>
      </c>
      <c r="F670" s="264">
        <v>4580125</v>
      </c>
      <c r="G670" s="268">
        <v>21470130</v>
      </c>
      <c r="H670" s="264"/>
      <c r="I670" s="264">
        <v>2</v>
      </c>
      <c r="J670" s="272"/>
      <c r="K670" s="264"/>
      <c r="L670" s="264"/>
      <c r="M670" s="275"/>
    </row>
    <row r="671" spans="2:13" ht="16.5" customHeight="1">
      <c r="B671" s="265" t="s">
        <v>2354</v>
      </c>
      <c r="C671" s="263" t="s">
        <v>1054</v>
      </c>
      <c r="D671" s="263">
        <v>1</v>
      </c>
      <c r="E671" s="171">
        <v>44578</v>
      </c>
      <c r="F671" s="264">
        <v>5251875</v>
      </c>
      <c r="G671" s="268">
        <v>10072090</v>
      </c>
      <c r="H671" s="264"/>
      <c r="I671" s="264">
        <v>2</v>
      </c>
      <c r="J671" s="272">
        <v>45322</v>
      </c>
      <c r="K671" s="264"/>
      <c r="L671" s="264"/>
      <c r="M671" s="275"/>
    </row>
    <row r="672" spans="2:13" ht="16.5" customHeight="1">
      <c r="B672" s="265" t="s">
        <v>2355</v>
      </c>
      <c r="C672" s="263" t="s">
        <v>1055</v>
      </c>
      <c r="D672" s="263">
        <v>1</v>
      </c>
      <c r="E672" s="171">
        <v>44136</v>
      </c>
      <c r="F672" s="264">
        <v>4340836.666666666</v>
      </c>
      <c r="G672" s="268">
        <v>22441540</v>
      </c>
      <c r="H672" s="264"/>
      <c r="I672" s="264">
        <v>2</v>
      </c>
      <c r="J672" s="272"/>
      <c r="K672" s="264"/>
      <c r="L672" s="264"/>
      <c r="M672" s="275"/>
    </row>
    <row r="673" spans="2:13" ht="16.5" customHeight="1">
      <c r="B673" s="265" t="s">
        <v>2356</v>
      </c>
      <c r="C673" s="263" t="s">
        <v>1056</v>
      </c>
      <c r="D673" s="263">
        <v>1</v>
      </c>
      <c r="E673" s="171">
        <v>44613</v>
      </c>
      <c r="F673" s="264">
        <v>2410048.3333333335</v>
      </c>
      <c r="G673" s="268">
        <v>9310050</v>
      </c>
      <c r="H673" s="264"/>
      <c r="I673" s="264">
        <v>2</v>
      </c>
      <c r="J673" s="272"/>
      <c r="K673" s="264"/>
      <c r="L673" s="264"/>
      <c r="M673" s="275"/>
    </row>
    <row r="674" spans="2:13" ht="16.5" customHeight="1">
      <c r="B674" s="265" t="s">
        <v>2357</v>
      </c>
      <c r="C674" s="263" t="s">
        <v>1057</v>
      </c>
      <c r="D674" s="263">
        <v>1</v>
      </c>
      <c r="E674" s="171">
        <v>44767</v>
      </c>
      <c r="F674" s="264">
        <v>4519881.666666666</v>
      </c>
      <c r="G674" s="268">
        <v>15553350</v>
      </c>
      <c r="H674" s="264"/>
      <c r="I674" s="264">
        <v>2</v>
      </c>
      <c r="J674" s="272"/>
      <c r="K674" s="264"/>
      <c r="L674" s="264"/>
      <c r="M674" s="275"/>
    </row>
    <row r="675" spans="2:13" ht="16.5" customHeight="1">
      <c r="B675" s="265" t="s">
        <v>2358</v>
      </c>
      <c r="C675" s="263" t="s">
        <v>1058</v>
      </c>
      <c r="D675" s="263">
        <v>1</v>
      </c>
      <c r="E675" s="171">
        <v>44095</v>
      </c>
      <c r="F675" s="264">
        <v>5034045</v>
      </c>
      <c r="G675" s="268">
        <v>26590800</v>
      </c>
      <c r="H675" s="264"/>
      <c r="I675" s="264">
        <v>2</v>
      </c>
      <c r="J675" s="272"/>
      <c r="K675" s="264"/>
      <c r="L675" s="264"/>
      <c r="M675" s="275"/>
    </row>
    <row r="676" spans="2:13" ht="16.5" customHeight="1">
      <c r="B676" s="265" t="s">
        <v>2359</v>
      </c>
      <c r="C676" s="263" t="s">
        <v>1059</v>
      </c>
      <c r="D676" s="263">
        <v>1</v>
      </c>
      <c r="E676" s="171">
        <v>44440</v>
      </c>
      <c r="F676" s="264">
        <v>4641048.333333333</v>
      </c>
      <c r="G676" s="268">
        <v>20128170</v>
      </c>
      <c r="H676" s="264"/>
      <c r="I676" s="264">
        <v>2</v>
      </c>
      <c r="J676" s="272"/>
      <c r="K676" s="264"/>
      <c r="L676" s="264"/>
      <c r="M676" s="275"/>
    </row>
    <row r="677" spans="2:13" ht="16.5" customHeight="1">
      <c r="B677" s="265" t="s">
        <v>2360</v>
      </c>
      <c r="C677" s="263" t="s">
        <v>1060</v>
      </c>
      <c r="D677" s="263">
        <v>1</v>
      </c>
      <c r="E677" s="171">
        <v>44543</v>
      </c>
      <c r="F677" s="264">
        <v>4383046.666666667</v>
      </c>
      <c r="G677" s="268">
        <v>17772360</v>
      </c>
      <c r="H677" s="264"/>
      <c r="I677" s="264">
        <v>2</v>
      </c>
      <c r="J677" s="272"/>
      <c r="K677" s="264"/>
      <c r="L677" s="264"/>
      <c r="M677" s="275"/>
    </row>
    <row r="678" spans="2:13" ht="16.5" customHeight="1">
      <c r="B678" s="265" t="s">
        <v>2361</v>
      </c>
      <c r="C678" s="263" t="s">
        <v>1061</v>
      </c>
      <c r="D678" s="263">
        <v>1</v>
      </c>
      <c r="E678" s="171">
        <v>44130</v>
      </c>
      <c r="F678" s="264">
        <v>4410333.333333333</v>
      </c>
      <c r="G678" s="268">
        <v>737070</v>
      </c>
      <c r="H678" s="264"/>
      <c r="I678" s="264">
        <v>2</v>
      </c>
      <c r="J678" s="272">
        <v>45961</v>
      </c>
      <c r="K678" s="264">
        <v>23259020</v>
      </c>
      <c r="L678" s="264"/>
      <c r="M678" s="275"/>
    </row>
    <row r="679" spans="2:13" ht="16.5" customHeight="1">
      <c r="B679" s="265" t="s">
        <v>2362</v>
      </c>
      <c r="C679" s="263" t="s">
        <v>1062</v>
      </c>
      <c r="D679" s="263">
        <v>1</v>
      </c>
      <c r="E679" s="171">
        <v>44067</v>
      </c>
      <c r="F679" s="264">
        <v>4482385</v>
      </c>
      <c r="G679" s="268">
        <v>24020680</v>
      </c>
      <c r="H679" s="264"/>
      <c r="I679" s="264">
        <v>2</v>
      </c>
      <c r="J679" s="272"/>
      <c r="K679" s="264"/>
      <c r="L679" s="264"/>
      <c r="M679" s="275"/>
    </row>
    <row r="680" spans="2:13" ht="16.5" customHeight="1">
      <c r="B680" s="265" t="s">
        <v>2363</v>
      </c>
      <c r="C680" s="263" t="s">
        <v>1063</v>
      </c>
      <c r="D680" s="263">
        <v>1</v>
      </c>
      <c r="E680" s="171">
        <v>44095</v>
      </c>
      <c r="F680" s="264">
        <v>4639718.333333333</v>
      </c>
      <c r="G680" s="268">
        <v>24507890</v>
      </c>
      <c r="H680" s="264"/>
      <c r="I680" s="264">
        <v>2</v>
      </c>
      <c r="J680" s="272"/>
      <c r="K680" s="264"/>
      <c r="L680" s="264"/>
      <c r="M680" s="275"/>
    </row>
    <row r="681" spans="2:13" ht="16.5" customHeight="1">
      <c r="B681" s="265" t="s">
        <v>2364</v>
      </c>
      <c r="C681" s="263" t="s">
        <v>1064</v>
      </c>
      <c r="D681" s="263">
        <v>1</v>
      </c>
      <c r="E681" s="171">
        <v>44136</v>
      </c>
      <c r="F681" s="264">
        <v>4735109.166666667</v>
      </c>
      <c r="G681" s="268">
        <v>24479870</v>
      </c>
      <c r="H681" s="264"/>
      <c r="I681" s="264">
        <v>2</v>
      </c>
      <c r="J681" s="272"/>
      <c r="K681" s="264"/>
      <c r="L681" s="264"/>
      <c r="M681" s="275"/>
    </row>
    <row r="682" spans="2:13" ht="16.5" customHeight="1">
      <c r="B682" s="265" t="s">
        <v>2365</v>
      </c>
      <c r="C682" s="263" t="s">
        <v>1065</v>
      </c>
      <c r="D682" s="263">
        <v>1</v>
      </c>
      <c r="E682" s="171">
        <v>44221</v>
      </c>
      <c r="F682" s="264">
        <v>4198041.666666666</v>
      </c>
      <c r="G682" s="268">
        <v>20725680</v>
      </c>
      <c r="H682" s="264"/>
      <c r="I682" s="264">
        <v>2</v>
      </c>
      <c r="J682" s="272"/>
      <c r="K682" s="264"/>
      <c r="L682" s="264"/>
      <c r="M682" s="275"/>
    </row>
    <row r="683" spans="2:13" ht="16.5" customHeight="1">
      <c r="B683" s="265" t="s">
        <v>2366</v>
      </c>
      <c r="C683" s="263" t="s">
        <v>1066</v>
      </c>
      <c r="D683" s="263">
        <v>1</v>
      </c>
      <c r="E683" s="171">
        <v>44641</v>
      </c>
      <c r="F683" s="264">
        <v>4362032.5</v>
      </c>
      <c r="G683" s="268">
        <v>16515970</v>
      </c>
      <c r="H683" s="264"/>
      <c r="I683" s="264">
        <v>2</v>
      </c>
      <c r="J683" s="272"/>
      <c r="K683" s="264"/>
      <c r="L683" s="264"/>
      <c r="M683" s="275"/>
    </row>
    <row r="684" spans="2:13" ht="16.5" customHeight="1">
      <c r="B684" s="265" t="s">
        <v>2367</v>
      </c>
      <c r="C684" s="263" t="s">
        <v>1067</v>
      </c>
      <c r="D684" s="263">
        <v>1</v>
      </c>
      <c r="E684" s="171">
        <v>44683</v>
      </c>
      <c r="F684" s="264">
        <v>3400000</v>
      </c>
      <c r="G684" s="268">
        <v>12482200</v>
      </c>
      <c r="H684" s="264"/>
      <c r="I684" s="264">
        <v>2</v>
      </c>
      <c r="J684" s="272"/>
      <c r="K684" s="264"/>
      <c r="L684" s="264"/>
      <c r="M684" s="275"/>
    </row>
    <row r="685" spans="2:13" ht="16.5" customHeight="1">
      <c r="B685" s="265" t="s">
        <v>2368</v>
      </c>
      <c r="C685" s="263" t="s">
        <v>1068</v>
      </c>
      <c r="D685" s="263">
        <v>1</v>
      </c>
      <c r="E685" s="171">
        <v>44543</v>
      </c>
      <c r="F685" s="264">
        <v>4844041.666666667</v>
      </c>
      <c r="G685" s="268">
        <v>19641600</v>
      </c>
      <c r="H685" s="264"/>
      <c r="I685" s="264">
        <v>2</v>
      </c>
      <c r="J685" s="272"/>
      <c r="K685" s="264"/>
      <c r="L685" s="264"/>
      <c r="M685" s="275"/>
    </row>
    <row r="686" spans="2:13" ht="16.5" customHeight="1">
      <c r="B686" s="265" t="s">
        <v>2369</v>
      </c>
      <c r="C686" s="263" t="s">
        <v>1069</v>
      </c>
      <c r="D686" s="263">
        <v>1</v>
      </c>
      <c r="E686" s="171">
        <v>44136</v>
      </c>
      <c r="F686" s="264">
        <v>4563875</v>
      </c>
      <c r="G686" s="268">
        <v>387620</v>
      </c>
      <c r="H686" s="264"/>
      <c r="I686" s="264">
        <v>2</v>
      </c>
      <c r="J686" s="272">
        <v>45991</v>
      </c>
      <c r="K686" s="264">
        <v>23207000</v>
      </c>
      <c r="L686" s="264"/>
      <c r="M686" s="275"/>
    </row>
    <row r="687" spans="2:13" ht="16.5" customHeight="1">
      <c r="B687" s="265" t="s">
        <v>2370</v>
      </c>
      <c r="C687" s="263" t="s">
        <v>1070</v>
      </c>
      <c r="D687" s="263">
        <v>1</v>
      </c>
      <c r="E687" s="171">
        <v>44403</v>
      </c>
      <c r="F687" s="264">
        <v>4287038.333333333</v>
      </c>
      <c r="G687" s="268">
        <v>19027410</v>
      </c>
      <c r="H687" s="264"/>
      <c r="I687" s="264">
        <v>2</v>
      </c>
      <c r="J687" s="272"/>
      <c r="K687" s="264"/>
      <c r="L687" s="264"/>
      <c r="M687" s="275"/>
    </row>
    <row r="688" spans="2:13" ht="16.5" customHeight="1">
      <c r="B688" s="265" t="s">
        <v>2371</v>
      </c>
      <c r="C688" s="263" t="s">
        <v>1071</v>
      </c>
      <c r="D688" s="263">
        <v>1</v>
      </c>
      <c r="E688" s="171">
        <v>44433</v>
      </c>
      <c r="F688" s="264">
        <v>4352381.666666666</v>
      </c>
      <c r="G688" s="268">
        <v>18959690</v>
      </c>
      <c r="H688" s="264"/>
      <c r="I688" s="264">
        <v>2</v>
      </c>
      <c r="J688" s="272"/>
      <c r="K688" s="264"/>
      <c r="L688" s="264"/>
      <c r="M688" s="275"/>
    </row>
    <row r="689" spans="2:13" ht="16.5" customHeight="1">
      <c r="B689" s="265" t="s">
        <v>2372</v>
      </c>
      <c r="C689" s="263" t="s">
        <v>1072</v>
      </c>
      <c r="D689" s="263">
        <v>1</v>
      </c>
      <c r="E689" s="171">
        <v>44543</v>
      </c>
      <c r="F689" s="264">
        <v>2329346.6666666665</v>
      </c>
      <c r="G689" s="268">
        <v>1793280</v>
      </c>
      <c r="H689" s="264"/>
      <c r="I689" s="264">
        <v>2</v>
      </c>
      <c r="J689" s="272">
        <v>45741</v>
      </c>
      <c r="K689" s="264">
        <v>13185780</v>
      </c>
      <c r="L689" s="264"/>
      <c r="M689" s="275"/>
    </row>
    <row r="690" spans="2:13" ht="16.5" customHeight="1">
      <c r="B690" s="265" t="s">
        <v>2373</v>
      </c>
      <c r="C690" s="263" t="s">
        <v>1073</v>
      </c>
      <c r="D690" s="263">
        <v>1</v>
      </c>
      <c r="E690" s="171">
        <v>43948</v>
      </c>
      <c r="F690" s="264">
        <v>4212680</v>
      </c>
      <c r="G690" s="268">
        <v>23948800</v>
      </c>
      <c r="H690" s="264"/>
      <c r="I690" s="264">
        <v>2</v>
      </c>
      <c r="J690" s="272"/>
      <c r="K690" s="264"/>
      <c r="L690" s="264"/>
      <c r="M690" s="275"/>
    </row>
    <row r="691" spans="2:13" ht="16.5" customHeight="1">
      <c r="B691" s="265" t="s">
        <v>2374</v>
      </c>
      <c r="C691" s="263" t="s">
        <v>1074</v>
      </c>
      <c r="D691" s="263">
        <v>1</v>
      </c>
      <c r="E691" s="171">
        <v>44095</v>
      </c>
      <c r="F691" s="264">
        <v>4354670</v>
      </c>
      <c r="G691" s="268">
        <v>23002210</v>
      </c>
      <c r="H691" s="264"/>
      <c r="I691" s="264">
        <v>2</v>
      </c>
      <c r="J691" s="272"/>
      <c r="K691" s="264"/>
      <c r="L691" s="264"/>
      <c r="M691" s="275"/>
    </row>
    <row r="692" spans="2:13" ht="16.5" customHeight="1">
      <c r="B692" s="265" t="s">
        <v>2375</v>
      </c>
      <c r="C692" s="263" t="s">
        <v>1075</v>
      </c>
      <c r="D692" s="263">
        <v>1</v>
      </c>
      <c r="E692" s="171">
        <v>44118</v>
      </c>
      <c r="F692" s="264">
        <v>4257369.166666666</v>
      </c>
      <c r="G692" s="268">
        <v>22219970</v>
      </c>
      <c r="H692" s="264"/>
      <c r="I692" s="264">
        <v>2</v>
      </c>
      <c r="J692" s="272"/>
      <c r="K692" s="264"/>
      <c r="L692" s="264"/>
      <c r="M692" s="275"/>
    </row>
    <row r="693" spans="2:13" ht="16.5" customHeight="1">
      <c r="B693" s="265" t="s">
        <v>2376</v>
      </c>
      <c r="C693" s="263" t="s">
        <v>1076</v>
      </c>
      <c r="D693" s="263">
        <v>1</v>
      </c>
      <c r="E693" s="171">
        <v>44193</v>
      </c>
      <c r="F693" s="264">
        <v>4358699.166666666</v>
      </c>
      <c r="G693" s="268">
        <v>21853210</v>
      </c>
      <c r="H693" s="264"/>
      <c r="I693" s="264">
        <v>2</v>
      </c>
      <c r="J693" s="272"/>
      <c r="K693" s="264"/>
      <c r="L693" s="264"/>
      <c r="M693" s="275"/>
    </row>
    <row r="694" spans="2:13" ht="16.5" customHeight="1">
      <c r="B694" s="265" t="s">
        <v>2377</v>
      </c>
      <c r="C694" s="263" t="s">
        <v>1077</v>
      </c>
      <c r="D694" s="263">
        <v>1</v>
      </c>
      <c r="E694" s="171">
        <v>44433</v>
      </c>
      <c r="F694" s="264">
        <v>4231010</v>
      </c>
      <c r="G694" s="268">
        <v>6363910</v>
      </c>
      <c r="H694" s="264"/>
      <c r="I694" s="264">
        <v>2</v>
      </c>
      <c r="J694" s="272">
        <v>45473</v>
      </c>
      <c r="K694" s="264"/>
      <c r="L694" s="264"/>
      <c r="M694" s="275"/>
    </row>
    <row r="695" spans="2:13" ht="16.5" customHeight="1">
      <c r="B695" s="265" t="s">
        <v>2378</v>
      </c>
      <c r="C695" s="263" t="s">
        <v>1078</v>
      </c>
      <c r="D695" s="263">
        <v>1</v>
      </c>
      <c r="E695" s="171">
        <v>44312</v>
      </c>
      <c r="F695" s="264">
        <v>4144011.666666667</v>
      </c>
      <c r="G695" s="268">
        <v>19425770</v>
      </c>
      <c r="H695" s="264"/>
      <c r="I695" s="264">
        <v>2</v>
      </c>
      <c r="J695" s="272"/>
      <c r="K695" s="264"/>
      <c r="L695" s="264"/>
      <c r="M695" s="275"/>
    </row>
    <row r="696" spans="2:13" ht="16.5" customHeight="1">
      <c r="B696" s="265" t="s">
        <v>2379</v>
      </c>
      <c r="C696" s="263" t="s">
        <v>1079</v>
      </c>
      <c r="D696" s="263">
        <v>1</v>
      </c>
      <c r="E696" s="171">
        <v>44382</v>
      </c>
      <c r="F696" s="264">
        <v>4468046.666666667</v>
      </c>
      <c r="G696" s="268">
        <v>20087850</v>
      </c>
      <c r="H696" s="264"/>
      <c r="I696" s="264">
        <v>2</v>
      </c>
      <c r="J696" s="272"/>
      <c r="K696" s="264"/>
      <c r="L696" s="264"/>
      <c r="M696" s="275"/>
    </row>
    <row r="697" spans="2:13" ht="16.5" customHeight="1">
      <c r="B697" s="265" t="s">
        <v>2380</v>
      </c>
      <c r="C697" s="263" t="s">
        <v>1080</v>
      </c>
      <c r="D697" s="263">
        <v>1</v>
      </c>
      <c r="E697" s="171">
        <v>44440</v>
      </c>
      <c r="F697" s="264">
        <v>4260041.666666666</v>
      </c>
      <c r="G697" s="268">
        <v>18475750</v>
      </c>
      <c r="H697" s="264"/>
      <c r="I697" s="264">
        <v>2</v>
      </c>
      <c r="J697" s="272"/>
      <c r="K697" s="264"/>
      <c r="L697" s="264"/>
      <c r="M697" s="275"/>
    </row>
    <row r="698" spans="2:13" ht="16.5" customHeight="1">
      <c r="B698" s="265" t="s">
        <v>2381</v>
      </c>
      <c r="C698" s="263" t="s">
        <v>1081</v>
      </c>
      <c r="D698" s="263">
        <v>1</v>
      </c>
      <c r="E698" s="171">
        <v>44438</v>
      </c>
      <c r="F698" s="264">
        <v>4189711.6666666665</v>
      </c>
      <c r="G698" s="268">
        <v>18193680</v>
      </c>
      <c r="H698" s="264"/>
      <c r="I698" s="264">
        <v>2</v>
      </c>
      <c r="J698" s="272"/>
      <c r="K698" s="264"/>
      <c r="L698" s="264"/>
      <c r="M698" s="275"/>
    </row>
    <row r="699" spans="2:13" ht="16.5" customHeight="1">
      <c r="B699" s="265" t="s">
        <v>2382</v>
      </c>
      <c r="C699" s="263" t="s">
        <v>1082</v>
      </c>
      <c r="D699" s="263">
        <v>1</v>
      </c>
      <c r="E699" s="171">
        <v>44543</v>
      </c>
      <c r="F699" s="264">
        <v>4625045</v>
      </c>
      <c r="G699" s="268">
        <v>18753610</v>
      </c>
      <c r="H699" s="264"/>
      <c r="I699" s="264">
        <v>2</v>
      </c>
      <c r="J699" s="272"/>
      <c r="K699" s="264"/>
      <c r="L699" s="264"/>
      <c r="M699" s="275"/>
    </row>
    <row r="700" spans="2:13" ht="16.5" customHeight="1">
      <c r="B700" s="265" t="s">
        <v>2383</v>
      </c>
      <c r="C700" s="263" t="s">
        <v>1083</v>
      </c>
      <c r="D700" s="263">
        <v>1</v>
      </c>
      <c r="E700" s="171">
        <v>44118</v>
      </c>
      <c r="F700" s="264">
        <v>4542695.833333334</v>
      </c>
      <c r="G700" s="268">
        <v>23709140</v>
      </c>
      <c r="H700" s="264"/>
      <c r="I700" s="264">
        <v>2</v>
      </c>
      <c r="J700" s="272"/>
      <c r="K700" s="264"/>
      <c r="L700" s="264"/>
      <c r="M700" s="275"/>
    </row>
    <row r="701" spans="2:13" ht="16.5" customHeight="1">
      <c r="B701" s="265" t="s">
        <v>2384</v>
      </c>
      <c r="C701" s="263" t="s">
        <v>1084</v>
      </c>
      <c r="D701" s="263">
        <v>1</v>
      </c>
      <c r="E701" s="171">
        <v>44116</v>
      </c>
      <c r="F701" s="264">
        <v>4933402.5</v>
      </c>
      <c r="G701" s="268">
        <v>25775340</v>
      </c>
      <c r="H701" s="264"/>
      <c r="I701" s="264">
        <v>2</v>
      </c>
      <c r="J701" s="272"/>
      <c r="K701" s="264"/>
      <c r="L701" s="264"/>
      <c r="M701" s="275"/>
    </row>
    <row r="702" spans="2:13" ht="16.5" customHeight="1">
      <c r="B702" s="265" t="s">
        <v>2385</v>
      </c>
      <c r="C702" s="263" t="s">
        <v>673</v>
      </c>
      <c r="D702" s="263">
        <v>1</v>
      </c>
      <c r="E702" s="171">
        <v>44136</v>
      </c>
      <c r="F702" s="264">
        <v>4826853.333333334</v>
      </c>
      <c r="G702" s="268">
        <v>24954180</v>
      </c>
      <c r="H702" s="264"/>
      <c r="I702" s="264">
        <v>2</v>
      </c>
      <c r="J702" s="272"/>
      <c r="K702" s="264"/>
      <c r="L702" s="264"/>
      <c r="M702" s="275"/>
    </row>
    <row r="703" spans="2:13" ht="16.5" customHeight="1">
      <c r="B703" s="265" t="s">
        <v>2386</v>
      </c>
      <c r="C703" s="263" t="s">
        <v>1085</v>
      </c>
      <c r="D703" s="263">
        <v>1</v>
      </c>
      <c r="E703" s="171">
        <v>44136</v>
      </c>
      <c r="F703" s="264">
        <v>4515040</v>
      </c>
      <c r="G703" s="268">
        <v>23342140</v>
      </c>
      <c r="H703" s="264"/>
      <c r="I703" s="264">
        <v>2</v>
      </c>
      <c r="J703" s="272"/>
      <c r="K703" s="264"/>
      <c r="L703" s="264"/>
      <c r="M703" s="275"/>
    </row>
    <row r="704" spans="2:13" ht="16.5" customHeight="1">
      <c r="B704" s="265" t="s">
        <v>2387</v>
      </c>
      <c r="C704" s="263" t="s">
        <v>1086</v>
      </c>
      <c r="D704" s="263">
        <v>1</v>
      </c>
      <c r="E704" s="171">
        <v>44403</v>
      </c>
      <c r="F704" s="264">
        <v>4499756.666666667</v>
      </c>
      <c r="G704" s="268">
        <v>19971530</v>
      </c>
      <c r="H704" s="264"/>
      <c r="I704" s="264">
        <v>2</v>
      </c>
      <c r="J704" s="272"/>
      <c r="K704" s="264"/>
      <c r="L704" s="264"/>
      <c r="M704" s="275"/>
    </row>
    <row r="705" spans="2:13" ht="16.5" customHeight="1">
      <c r="B705" s="265" t="s">
        <v>2388</v>
      </c>
      <c r="C705" s="263" t="s">
        <v>1087</v>
      </c>
      <c r="D705" s="263">
        <v>1</v>
      </c>
      <c r="E705" s="171">
        <v>44433</v>
      </c>
      <c r="F705" s="264">
        <v>4227024.166666667</v>
      </c>
      <c r="G705" s="268">
        <v>18413620</v>
      </c>
      <c r="H705" s="264"/>
      <c r="I705" s="264">
        <v>2</v>
      </c>
      <c r="J705" s="272"/>
      <c r="K705" s="264"/>
      <c r="L705" s="264"/>
      <c r="M705" s="275"/>
    </row>
    <row r="706" spans="2:13" ht="16.5" customHeight="1">
      <c r="B706" s="265" t="s">
        <v>2389</v>
      </c>
      <c r="C706" s="263" t="s">
        <v>1088</v>
      </c>
      <c r="D706" s="263">
        <v>1</v>
      </c>
      <c r="E706" s="171">
        <v>44725</v>
      </c>
      <c r="F706" s="264">
        <v>4336040</v>
      </c>
      <c r="G706" s="268">
        <v>15419680</v>
      </c>
      <c r="H706" s="264"/>
      <c r="I706" s="264">
        <v>2</v>
      </c>
      <c r="J706" s="272"/>
      <c r="K706" s="264"/>
      <c r="L706" s="264"/>
      <c r="M706" s="275"/>
    </row>
    <row r="707" spans="2:13" ht="16.5" customHeight="1">
      <c r="B707" s="265" t="s">
        <v>2390</v>
      </c>
      <c r="C707" s="263" t="s">
        <v>1089</v>
      </c>
      <c r="D707" s="263">
        <v>1</v>
      </c>
      <c r="E707" s="171">
        <v>44725</v>
      </c>
      <c r="F707" s="264">
        <v>4536378.333333334</v>
      </c>
      <c r="G707" s="268">
        <v>16132110</v>
      </c>
      <c r="H707" s="264"/>
      <c r="I707" s="264">
        <v>2</v>
      </c>
      <c r="J707" s="272"/>
      <c r="K707" s="264"/>
      <c r="L707" s="264"/>
      <c r="M707" s="275"/>
    </row>
    <row r="708" spans="2:13" ht="16.5" customHeight="1">
      <c r="B708" s="265" t="s">
        <v>2391</v>
      </c>
      <c r="C708" s="263" t="s">
        <v>1090</v>
      </c>
      <c r="D708" s="263">
        <v>1</v>
      </c>
      <c r="E708" s="171">
        <v>44543</v>
      </c>
      <c r="F708" s="264">
        <v>4201704.166666667</v>
      </c>
      <c r="G708" s="268">
        <v>17037050</v>
      </c>
      <c r="H708" s="264"/>
      <c r="I708" s="264">
        <v>2</v>
      </c>
      <c r="J708" s="272"/>
      <c r="K708" s="264"/>
      <c r="L708" s="264"/>
      <c r="M708" s="275"/>
    </row>
    <row r="709" spans="2:13" ht="16.5" customHeight="1">
      <c r="B709" s="265" t="s">
        <v>2392</v>
      </c>
      <c r="C709" s="263" t="s">
        <v>1091</v>
      </c>
      <c r="D709" s="263">
        <v>1</v>
      </c>
      <c r="E709" s="171">
        <v>44118</v>
      </c>
      <c r="F709" s="264">
        <v>4192699.166666667</v>
      </c>
      <c r="G709" s="268">
        <v>21882450</v>
      </c>
      <c r="H709" s="264"/>
      <c r="I709" s="264">
        <v>2</v>
      </c>
      <c r="J709" s="272"/>
      <c r="K709" s="264"/>
      <c r="L709" s="264"/>
      <c r="M709" s="275"/>
    </row>
    <row r="710" spans="2:13" ht="16.5" customHeight="1">
      <c r="B710" s="265" t="s">
        <v>2393</v>
      </c>
      <c r="C710" s="263" t="s">
        <v>1092</v>
      </c>
      <c r="D710" s="263">
        <v>1</v>
      </c>
      <c r="E710" s="171">
        <v>44433</v>
      </c>
      <c r="F710" s="264">
        <v>4190035.8333333335</v>
      </c>
      <c r="G710" s="268">
        <v>18252490</v>
      </c>
      <c r="H710" s="264"/>
      <c r="I710" s="264">
        <v>2</v>
      </c>
      <c r="J710" s="272"/>
      <c r="K710" s="264"/>
      <c r="L710" s="264"/>
      <c r="M710" s="275"/>
    </row>
    <row r="711" spans="2:13" ht="16.5" customHeight="1">
      <c r="B711" s="265" t="s">
        <v>2394</v>
      </c>
      <c r="C711" s="263" t="s">
        <v>1093</v>
      </c>
      <c r="D711" s="263">
        <v>1</v>
      </c>
      <c r="E711" s="171">
        <v>44440</v>
      </c>
      <c r="F711" s="264">
        <v>4117024.1666666665</v>
      </c>
      <c r="G711" s="268">
        <v>17855480</v>
      </c>
      <c r="H711" s="264"/>
      <c r="I711" s="264">
        <v>2</v>
      </c>
      <c r="J711" s="272"/>
      <c r="K711" s="264"/>
      <c r="L711" s="264"/>
      <c r="M711" s="275"/>
    </row>
    <row r="712" spans="2:13" ht="16.5" customHeight="1">
      <c r="B712" s="265" t="s">
        <v>2395</v>
      </c>
      <c r="C712" s="263" t="s">
        <v>1094</v>
      </c>
      <c r="D712" s="263">
        <v>1</v>
      </c>
      <c r="E712" s="171">
        <v>44440</v>
      </c>
      <c r="F712" s="264">
        <v>4680520</v>
      </c>
      <c r="G712" s="268">
        <v>20299360</v>
      </c>
      <c r="H712" s="264"/>
      <c r="I712" s="264">
        <v>2</v>
      </c>
      <c r="J712" s="272"/>
      <c r="K712" s="264"/>
      <c r="L712" s="264"/>
      <c r="M712" s="275"/>
    </row>
    <row r="713" spans="2:13" ht="16.5" customHeight="1">
      <c r="B713" s="265" t="s">
        <v>2396</v>
      </c>
      <c r="C713" s="263" t="s">
        <v>1095</v>
      </c>
      <c r="D713" s="263">
        <v>1</v>
      </c>
      <c r="E713" s="171">
        <v>44543</v>
      </c>
      <c r="F713" s="264">
        <v>4007357.5</v>
      </c>
      <c r="G713" s="268">
        <v>16249020</v>
      </c>
      <c r="H713" s="264"/>
      <c r="I713" s="264">
        <v>2</v>
      </c>
      <c r="J713" s="272"/>
      <c r="K713" s="264"/>
      <c r="L713" s="264"/>
      <c r="M713" s="275"/>
    </row>
    <row r="714" spans="2:13" ht="16.5" customHeight="1">
      <c r="B714" s="265" t="s">
        <v>2397</v>
      </c>
      <c r="C714" s="263" t="s">
        <v>1096</v>
      </c>
      <c r="D714" s="263">
        <v>1</v>
      </c>
      <c r="E714" s="171">
        <v>44118</v>
      </c>
      <c r="F714" s="264">
        <v>4458376.666666666</v>
      </c>
      <c r="G714" s="268">
        <v>23269070</v>
      </c>
      <c r="H714" s="264"/>
      <c r="I714" s="264">
        <v>2</v>
      </c>
      <c r="J714" s="272"/>
      <c r="K714" s="264"/>
      <c r="L714" s="264"/>
      <c r="M714" s="275"/>
    </row>
    <row r="715" spans="2:13" ht="16.5" customHeight="1">
      <c r="B715" s="265" t="s">
        <v>2398</v>
      </c>
      <c r="C715" s="263" t="s">
        <v>1097</v>
      </c>
      <c r="D715" s="263">
        <v>1</v>
      </c>
      <c r="E715" s="171">
        <v>44272</v>
      </c>
      <c r="F715" s="264">
        <v>4502711.666666667</v>
      </c>
      <c r="G715" s="268">
        <v>21600680</v>
      </c>
      <c r="H715" s="264"/>
      <c r="I715" s="264">
        <v>2</v>
      </c>
      <c r="J715" s="272"/>
      <c r="K715" s="264"/>
      <c r="L715" s="264"/>
      <c r="M715" s="275"/>
    </row>
    <row r="716" spans="2:13" ht="16.5" customHeight="1">
      <c r="B716" s="265" t="s">
        <v>2399</v>
      </c>
      <c r="C716" s="263" t="s">
        <v>1098</v>
      </c>
      <c r="D716" s="263">
        <v>1</v>
      </c>
      <c r="E716" s="171">
        <v>44382</v>
      </c>
      <c r="F716" s="264">
        <v>4385029.166666667</v>
      </c>
      <c r="G716" s="268">
        <v>19714620</v>
      </c>
      <c r="H716" s="264"/>
      <c r="I716" s="264">
        <v>2</v>
      </c>
      <c r="J716" s="272"/>
      <c r="K716" s="264"/>
      <c r="L716" s="264"/>
      <c r="M716" s="275"/>
    </row>
    <row r="717" spans="2:13" ht="16.5" customHeight="1">
      <c r="B717" s="265" t="s">
        <v>2400</v>
      </c>
      <c r="C717" s="263" t="s">
        <v>1099</v>
      </c>
      <c r="D717" s="263">
        <v>1</v>
      </c>
      <c r="E717" s="171">
        <v>44403</v>
      </c>
      <c r="F717" s="264">
        <v>4262029.166666667</v>
      </c>
      <c r="G717" s="268">
        <v>18916410</v>
      </c>
      <c r="H717" s="264"/>
      <c r="I717" s="264">
        <v>2</v>
      </c>
      <c r="J717" s="272"/>
      <c r="K717" s="264"/>
      <c r="L717" s="264"/>
      <c r="M717" s="275"/>
    </row>
    <row r="718" spans="2:13" ht="16.5" customHeight="1">
      <c r="B718" s="265" t="s">
        <v>2401</v>
      </c>
      <c r="C718" s="263" t="s">
        <v>1100</v>
      </c>
      <c r="D718" s="263">
        <v>1</v>
      </c>
      <c r="E718" s="171">
        <v>44193</v>
      </c>
      <c r="F718" s="264">
        <v>4531877.5</v>
      </c>
      <c r="G718" s="268">
        <v>22721470</v>
      </c>
      <c r="H718" s="264"/>
      <c r="I718" s="264">
        <v>2</v>
      </c>
      <c r="J718" s="272"/>
      <c r="K718" s="264"/>
      <c r="L718" s="264"/>
      <c r="M718" s="275"/>
    </row>
    <row r="719" spans="2:13" ht="16.5" customHeight="1">
      <c r="B719" s="265" t="s">
        <v>2402</v>
      </c>
      <c r="C719" s="263" t="s">
        <v>1101</v>
      </c>
      <c r="D719" s="263">
        <v>1</v>
      </c>
      <c r="E719" s="171">
        <v>44193</v>
      </c>
      <c r="F719" s="264">
        <v>4567371.666666666</v>
      </c>
      <c r="G719" s="268">
        <v>22899430</v>
      </c>
      <c r="H719" s="264"/>
      <c r="I719" s="264">
        <v>2</v>
      </c>
      <c r="J719" s="272"/>
      <c r="K719" s="264"/>
      <c r="L719" s="264"/>
      <c r="M719" s="275"/>
    </row>
    <row r="720" spans="2:13" ht="16.5" customHeight="1">
      <c r="B720" s="265" t="s">
        <v>2403</v>
      </c>
      <c r="C720" s="263" t="s">
        <v>422</v>
      </c>
      <c r="D720" s="263">
        <v>1</v>
      </c>
      <c r="E720" s="171">
        <v>44207</v>
      </c>
      <c r="F720" s="264">
        <v>4394110.833333334</v>
      </c>
      <c r="G720" s="268">
        <v>21862210</v>
      </c>
      <c r="H720" s="264"/>
      <c r="I720" s="264">
        <v>2</v>
      </c>
      <c r="J720" s="272"/>
      <c r="K720" s="264"/>
      <c r="L720" s="264"/>
      <c r="M720" s="275"/>
    </row>
    <row r="721" spans="2:13" ht="16.5" customHeight="1">
      <c r="B721" s="265" t="s">
        <v>2404</v>
      </c>
      <c r="C721" s="263" t="s">
        <v>1102</v>
      </c>
      <c r="D721" s="263">
        <v>1</v>
      </c>
      <c r="E721" s="171">
        <v>44340</v>
      </c>
      <c r="F721" s="264">
        <v>4366333.333333333</v>
      </c>
      <c r="G721" s="268">
        <v>20132990</v>
      </c>
      <c r="H721" s="264"/>
      <c r="I721" s="264">
        <v>2</v>
      </c>
      <c r="J721" s="272"/>
      <c r="K721" s="264"/>
      <c r="L721" s="264"/>
      <c r="M721" s="275"/>
    </row>
    <row r="722" spans="2:13" ht="16.5" customHeight="1">
      <c r="B722" s="265" t="s">
        <v>2405</v>
      </c>
      <c r="C722" s="263" t="s">
        <v>1040</v>
      </c>
      <c r="D722" s="263">
        <v>1</v>
      </c>
      <c r="E722" s="171">
        <v>44440</v>
      </c>
      <c r="F722" s="264">
        <v>4205335</v>
      </c>
      <c r="G722" s="268">
        <v>18238490</v>
      </c>
      <c r="H722" s="264"/>
      <c r="I722" s="264">
        <v>2</v>
      </c>
      <c r="J722" s="272"/>
      <c r="K722" s="264"/>
      <c r="L722" s="264"/>
      <c r="M722" s="275"/>
    </row>
    <row r="723" spans="2:13" ht="16.5" customHeight="1">
      <c r="B723" s="265" t="s">
        <v>2406</v>
      </c>
      <c r="C723" s="263" t="s">
        <v>1103</v>
      </c>
      <c r="D723" s="263">
        <v>1</v>
      </c>
      <c r="E723" s="171">
        <v>44440</v>
      </c>
      <c r="F723" s="264">
        <v>4550362.5</v>
      </c>
      <c r="G723" s="268">
        <v>19734860</v>
      </c>
      <c r="H723" s="264"/>
      <c r="I723" s="264">
        <v>2</v>
      </c>
      <c r="J723" s="272"/>
      <c r="K723" s="264"/>
      <c r="L723" s="264"/>
      <c r="M723" s="275"/>
    </row>
    <row r="724" spans="2:13" ht="16.5" customHeight="1">
      <c r="B724" s="265" t="s">
        <v>2407</v>
      </c>
      <c r="C724" s="263" t="s">
        <v>410</v>
      </c>
      <c r="D724" s="263">
        <v>1</v>
      </c>
      <c r="E724" s="171">
        <v>44368</v>
      </c>
      <c r="F724" s="264">
        <v>4339211.666666667</v>
      </c>
      <c r="G724" s="268">
        <v>19675060</v>
      </c>
      <c r="H724" s="264"/>
      <c r="I724" s="264">
        <v>2</v>
      </c>
      <c r="J724" s="272"/>
      <c r="K724" s="264"/>
      <c r="L724" s="264"/>
      <c r="M724" s="275"/>
    </row>
    <row r="725" spans="2:13" ht="16.5" customHeight="1">
      <c r="B725" s="265" t="s">
        <v>2408</v>
      </c>
      <c r="C725" s="263" t="s">
        <v>1104</v>
      </c>
      <c r="D725" s="263">
        <v>1</v>
      </c>
      <c r="E725" s="171">
        <v>40030</v>
      </c>
      <c r="F725" s="264">
        <v>4379903.333333333</v>
      </c>
      <c r="G725" s="268">
        <v>11711750</v>
      </c>
      <c r="H725" s="264"/>
      <c r="I725" s="264">
        <v>2</v>
      </c>
      <c r="J725" s="272">
        <v>45046</v>
      </c>
      <c r="K725" s="264"/>
      <c r="L725" s="264"/>
      <c r="M725" s="275"/>
    </row>
    <row r="726" spans="2:13" ht="16.5" customHeight="1">
      <c r="B726" s="265" t="s">
        <v>2409</v>
      </c>
      <c r="C726" s="263" t="s">
        <v>1105</v>
      </c>
      <c r="D726" s="263">
        <v>1</v>
      </c>
      <c r="E726" s="171">
        <v>44136</v>
      </c>
      <c r="F726" s="264">
        <v>3830000</v>
      </c>
      <c r="G726" s="268">
        <v>19800580</v>
      </c>
      <c r="H726" s="264"/>
      <c r="I726" s="264">
        <v>2</v>
      </c>
      <c r="J726" s="272"/>
      <c r="K726" s="264"/>
      <c r="L726" s="264"/>
      <c r="M726" s="275"/>
    </row>
    <row r="727" spans="2:13" ht="16.5" customHeight="1">
      <c r="B727" s="265" t="s">
        <v>2410</v>
      </c>
      <c r="C727" s="263" t="s">
        <v>1106</v>
      </c>
      <c r="D727" s="263">
        <v>1</v>
      </c>
      <c r="E727" s="171">
        <v>41275</v>
      </c>
      <c r="F727" s="264">
        <v>15000000</v>
      </c>
      <c r="G727" s="268">
        <v>151643850</v>
      </c>
      <c r="H727" s="264"/>
      <c r="I727" s="264">
        <v>3</v>
      </c>
      <c r="J727" s="272">
        <v>42947</v>
      </c>
      <c r="K727" s="264"/>
      <c r="L727" s="264"/>
      <c r="M727" s="275">
        <v>1.2</v>
      </c>
    </row>
    <row r="728" spans="2:13" ht="16.5" customHeight="1">
      <c r="B728" s="265" t="s">
        <v>2411</v>
      </c>
      <c r="C728" s="263" t="s">
        <v>1107</v>
      </c>
      <c r="D728" s="263">
        <v>2</v>
      </c>
      <c r="E728" s="171">
        <v>45170</v>
      </c>
      <c r="F728" s="264">
        <v>14166670</v>
      </c>
      <c r="G728" s="268">
        <v>39728790</v>
      </c>
      <c r="H728" s="264"/>
      <c r="I728" s="264">
        <v>3</v>
      </c>
      <c r="J728" s="272"/>
      <c r="K728" s="264"/>
      <c r="L728" s="264"/>
      <c r="M728" s="275">
        <v>1.2</v>
      </c>
    </row>
    <row r="729" spans="2:13" ht="16.5" customHeight="1">
      <c r="B729" s="265" t="s">
        <v>2412</v>
      </c>
      <c r="C729" s="263" t="s">
        <v>1108</v>
      </c>
      <c r="D729" s="263">
        <v>1</v>
      </c>
      <c r="E729" s="171">
        <v>40840</v>
      </c>
      <c r="F729" s="264">
        <v>11666670</v>
      </c>
      <c r="G729" s="268">
        <v>70038390</v>
      </c>
      <c r="H729" s="264"/>
      <c r="I729" s="264">
        <v>3</v>
      </c>
      <c r="J729" s="272">
        <v>44196</v>
      </c>
      <c r="K729" s="264"/>
      <c r="L729" s="264"/>
      <c r="M729" s="275">
        <v>1.2</v>
      </c>
    </row>
    <row r="730" spans="2:13" ht="16.5" customHeight="1">
      <c r="B730" s="265" t="s">
        <v>2413</v>
      </c>
      <c r="C730" s="263" t="s">
        <v>1109</v>
      </c>
      <c r="D730" s="263">
        <v>2</v>
      </c>
      <c r="E730" s="171">
        <v>45365</v>
      </c>
      <c r="F730" s="264">
        <v>2834000</v>
      </c>
      <c r="G730" s="268">
        <v>5108970</v>
      </c>
      <c r="H730" s="264"/>
      <c r="I730" s="264">
        <v>4</v>
      </c>
      <c r="J730" s="272"/>
      <c r="K730" s="264"/>
      <c r="L730" s="264"/>
      <c r="M730" s="275"/>
    </row>
    <row r="731" spans="2:13" ht="16.5" customHeight="1">
      <c r="B731" s="265" t="s">
        <v>2414</v>
      </c>
      <c r="C731" s="263" t="s">
        <v>1110</v>
      </c>
      <c r="D731" s="263">
        <v>2</v>
      </c>
      <c r="E731" s="171">
        <v>45420</v>
      </c>
      <c r="F731" s="264">
        <v>3054541.6666666665</v>
      </c>
      <c r="G731" s="268">
        <v>5046280</v>
      </c>
      <c r="H731" s="264"/>
      <c r="I731" s="264">
        <v>4</v>
      </c>
      <c r="J731" s="272"/>
      <c r="K731" s="264"/>
      <c r="L731" s="264"/>
      <c r="M731" s="275"/>
    </row>
    <row r="732" spans="2:13" ht="16.5" customHeight="1">
      <c r="B732" s="265" t="s">
        <v>2415</v>
      </c>
      <c r="C732" s="263" t="s">
        <v>1111</v>
      </c>
      <c r="D732" s="263">
        <v>2</v>
      </c>
      <c r="E732" s="171">
        <v>45432</v>
      </c>
      <c r="F732" s="264">
        <v>3648866.6666666665</v>
      </c>
      <c r="G732" s="268">
        <v>5908170</v>
      </c>
      <c r="H732" s="264"/>
      <c r="I732" s="264">
        <v>4</v>
      </c>
      <c r="J732" s="272"/>
      <c r="K732" s="264"/>
      <c r="L732" s="264"/>
      <c r="M732" s="275"/>
    </row>
    <row r="733" spans="2:13" ht="16.5" customHeight="1">
      <c r="B733" s="265" t="s">
        <v>2416</v>
      </c>
      <c r="C733" s="263" t="s">
        <v>1112</v>
      </c>
      <c r="D733" s="263">
        <v>2</v>
      </c>
      <c r="E733" s="171">
        <v>45407</v>
      </c>
      <c r="F733" s="264">
        <v>2652000</v>
      </c>
      <c r="G733" s="268">
        <v>4475710</v>
      </c>
      <c r="H733" s="264"/>
      <c r="I733" s="264">
        <v>4</v>
      </c>
      <c r="J733" s="272"/>
      <c r="K733" s="264"/>
      <c r="L733" s="264"/>
      <c r="M733" s="275"/>
    </row>
    <row r="734" spans="2:13" ht="16.5" customHeight="1">
      <c r="B734" s="265" t="s">
        <v>2417</v>
      </c>
      <c r="C734" s="263" t="s">
        <v>1113</v>
      </c>
      <c r="D734" s="263">
        <v>2</v>
      </c>
      <c r="E734" s="171">
        <v>45407</v>
      </c>
      <c r="F734" s="264">
        <v>2661666.6666666665</v>
      </c>
      <c r="G734" s="268">
        <v>4492020</v>
      </c>
      <c r="H734" s="264"/>
      <c r="I734" s="264">
        <v>4</v>
      </c>
      <c r="J734" s="272"/>
      <c r="K734" s="264"/>
      <c r="L734" s="264"/>
      <c r="M734" s="275"/>
    </row>
    <row r="735" spans="2:13" ht="16.5" customHeight="1">
      <c r="B735" s="265" t="s">
        <v>2418</v>
      </c>
      <c r="C735" s="263" t="s">
        <v>1114</v>
      </c>
      <c r="D735" s="263">
        <v>2</v>
      </c>
      <c r="E735" s="171">
        <v>45407</v>
      </c>
      <c r="F735" s="264">
        <v>2621000</v>
      </c>
      <c r="G735" s="268">
        <v>4423390</v>
      </c>
      <c r="H735" s="264"/>
      <c r="I735" s="264">
        <v>4</v>
      </c>
      <c r="J735" s="272"/>
      <c r="K735" s="264"/>
      <c r="L735" s="264"/>
      <c r="M735" s="275"/>
    </row>
    <row r="736" spans="2:13" ht="16.5" customHeight="1">
      <c r="B736" s="265" t="s">
        <v>2419</v>
      </c>
      <c r="C736" s="263" t="s">
        <v>1115</v>
      </c>
      <c r="D736" s="263">
        <v>2</v>
      </c>
      <c r="E736" s="171">
        <v>45565</v>
      </c>
      <c r="F736" s="264">
        <v>2602000</v>
      </c>
      <c r="G736" s="268">
        <v>3264980</v>
      </c>
      <c r="H736" s="264"/>
      <c r="I736" s="264">
        <v>4</v>
      </c>
      <c r="J736" s="272"/>
      <c r="K736" s="264"/>
      <c r="L736" s="264"/>
      <c r="M736" s="275"/>
    </row>
    <row r="737" spans="2:13" ht="16.5" customHeight="1">
      <c r="B737" s="265" t="s">
        <v>2420</v>
      </c>
      <c r="C737" s="263" t="s">
        <v>1116</v>
      </c>
      <c r="D737" s="263">
        <v>2</v>
      </c>
      <c r="E737" s="171">
        <v>45565</v>
      </c>
      <c r="F737" s="264">
        <v>2433333.3333333335</v>
      </c>
      <c r="G737" s="268">
        <v>3053340</v>
      </c>
      <c r="H737" s="264"/>
      <c r="I737" s="264">
        <v>4</v>
      </c>
      <c r="J737" s="272"/>
      <c r="K737" s="264"/>
      <c r="L737" s="264"/>
      <c r="M737" s="275"/>
    </row>
    <row r="738" spans="2:13" ht="16.5" customHeight="1">
      <c r="B738" s="265" t="s">
        <v>2421</v>
      </c>
      <c r="C738" s="263" t="s">
        <v>1117</v>
      </c>
      <c r="D738" s="263">
        <v>1</v>
      </c>
      <c r="E738" s="171">
        <v>45593</v>
      </c>
      <c r="F738" s="264">
        <v>2535333.3333333335</v>
      </c>
      <c r="G738" s="268">
        <v>2986840</v>
      </c>
      <c r="H738" s="264"/>
      <c r="I738" s="264">
        <v>4</v>
      </c>
      <c r="J738" s="272"/>
      <c r="K738" s="264"/>
      <c r="L738" s="264"/>
      <c r="M738" s="275"/>
    </row>
    <row r="739" spans="2:13" ht="16.5" customHeight="1">
      <c r="B739" s="265" t="s">
        <v>2422</v>
      </c>
      <c r="C739" s="263" t="s">
        <v>1118</v>
      </c>
      <c r="D739" s="263">
        <v>2</v>
      </c>
      <c r="E739" s="171">
        <v>45593</v>
      </c>
      <c r="F739" s="264">
        <v>2502666.6666666665</v>
      </c>
      <c r="G739" s="268">
        <v>2948350</v>
      </c>
      <c r="H739" s="264"/>
      <c r="I739" s="264">
        <v>4</v>
      </c>
      <c r="J739" s="272"/>
      <c r="K739" s="264"/>
      <c r="L739" s="264"/>
      <c r="M739" s="275"/>
    </row>
    <row r="740" spans="2:13" ht="16.5" customHeight="1">
      <c r="B740" s="265" t="s">
        <v>2423</v>
      </c>
      <c r="C740" s="263" t="s">
        <v>1119</v>
      </c>
      <c r="D740" s="263">
        <v>2</v>
      </c>
      <c r="E740" s="171">
        <v>45616</v>
      </c>
      <c r="F740" s="264">
        <v>2735333.3333333335</v>
      </c>
      <c r="G740" s="268">
        <v>3050090</v>
      </c>
      <c r="H740" s="264"/>
      <c r="I740" s="264">
        <v>4</v>
      </c>
      <c r="J740" s="272"/>
      <c r="K740" s="264"/>
      <c r="L740" s="264"/>
      <c r="M740" s="275"/>
    </row>
    <row r="741" spans="2:13" ht="16.5" customHeight="1">
      <c r="B741" s="265" t="s">
        <v>2424</v>
      </c>
      <c r="C741" s="263" t="s">
        <v>956</v>
      </c>
      <c r="D741" s="263">
        <v>2</v>
      </c>
      <c r="E741" s="171">
        <v>45631</v>
      </c>
      <c r="F741" s="264">
        <v>2600666.6666666665</v>
      </c>
      <c r="G741" s="268">
        <v>2793050</v>
      </c>
      <c r="H741" s="264"/>
      <c r="I741" s="264">
        <v>4</v>
      </c>
      <c r="J741" s="272"/>
      <c r="K741" s="264"/>
      <c r="L741" s="264"/>
      <c r="M741" s="275"/>
    </row>
    <row r="742" spans="2:13" ht="16.5" customHeight="1">
      <c r="B742" s="265" t="s">
        <v>2425</v>
      </c>
      <c r="C742" s="263" t="s">
        <v>1120</v>
      </c>
      <c r="D742" s="263">
        <v>2</v>
      </c>
      <c r="E742" s="171">
        <v>45631</v>
      </c>
      <c r="F742" s="264">
        <v>2614000</v>
      </c>
      <c r="G742" s="268">
        <v>2807370</v>
      </c>
      <c r="H742" s="264"/>
      <c r="I742" s="264">
        <v>4</v>
      </c>
      <c r="J742" s="272"/>
      <c r="K742" s="264"/>
      <c r="L742" s="264"/>
      <c r="M742" s="275"/>
    </row>
    <row r="743" spans="2:13" ht="16.5" customHeight="1">
      <c r="B743" s="265" t="s">
        <v>2426</v>
      </c>
      <c r="C743" s="263" t="s">
        <v>1121</v>
      </c>
      <c r="D743" s="263">
        <v>2</v>
      </c>
      <c r="E743" s="171">
        <v>45536</v>
      </c>
      <c r="F743" s="264">
        <v>2400000</v>
      </c>
      <c r="G743" s="268">
        <v>3202200</v>
      </c>
      <c r="H743" s="264"/>
      <c r="I743" s="264">
        <v>4</v>
      </c>
      <c r="J743" s="272"/>
      <c r="K743" s="264"/>
      <c r="L743" s="264"/>
      <c r="M743" s="275"/>
    </row>
    <row r="744" spans="2:13" ht="16.5" customHeight="1">
      <c r="B744" s="265" t="s">
        <v>2427</v>
      </c>
      <c r="C744" s="263" t="s">
        <v>1122</v>
      </c>
      <c r="D744" s="263">
        <v>2</v>
      </c>
      <c r="E744" s="171">
        <v>44935</v>
      </c>
      <c r="F744" s="264">
        <v>2530403.3333333335</v>
      </c>
      <c r="G744" s="268">
        <v>7542690</v>
      </c>
      <c r="H744" s="264"/>
      <c r="I744" s="264">
        <v>4</v>
      </c>
      <c r="J744" s="272"/>
      <c r="K744" s="264"/>
      <c r="L744" s="264"/>
      <c r="M744" s="275"/>
    </row>
    <row r="745" spans="2:13" ht="16.5" customHeight="1">
      <c r="B745" s="265" t="s">
        <v>2428</v>
      </c>
      <c r="C745" s="263" t="s">
        <v>857</v>
      </c>
      <c r="D745" s="263">
        <v>2</v>
      </c>
      <c r="E745" s="171">
        <v>45649</v>
      </c>
      <c r="F745" s="264">
        <v>2500000</v>
      </c>
      <c r="G745" s="268">
        <v>2561650</v>
      </c>
      <c r="H745" s="264"/>
      <c r="I745" s="264">
        <v>4</v>
      </c>
      <c r="J745" s="272"/>
      <c r="K745" s="264"/>
      <c r="L745" s="264"/>
      <c r="M745" s="275"/>
    </row>
    <row r="746" spans="2:13" ht="16.5" customHeight="1">
      <c r="B746" s="265" t="s">
        <v>2429</v>
      </c>
      <c r="C746" s="263" t="s">
        <v>1123</v>
      </c>
      <c r="D746" s="263">
        <v>2</v>
      </c>
      <c r="E746" s="171">
        <v>45488</v>
      </c>
      <c r="F746" s="264">
        <v>3108880</v>
      </c>
      <c r="G746" s="268">
        <v>4556860</v>
      </c>
      <c r="H746" s="264"/>
      <c r="I746" s="264">
        <v>4</v>
      </c>
      <c r="J746" s="272"/>
      <c r="K746" s="264"/>
      <c r="L746" s="264"/>
      <c r="M746" s="275"/>
    </row>
    <row r="747" spans="2:13" ht="16.5" customHeight="1">
      <c r="B747" s="265" t="s">
        <v>2430</v>
      </c>
      <c r="C747" s="263" t="s">
        <v>1124</v>
      </c>
      <c r="D747" s="263">
        <v>2</v>
      </c>
      <c r="E747" s="171">
        <v>45467</v>
      </c>
      <c r="F747" s="264">
        <v>2592180</v>
      </c>
      <c r="G747" s="268">
        <v>3948640</v>
      </c>
      <c r="H747" s="264"/>
      <c r="I747" s="264">
        <v>4</v>
      </c>
      <c r="J747" s="272"/>
      <c r="K747" s="264"/>
      <c r="L747" s="264"/>
      <c r="M747" s="275"/>
    </row>
    <row r="748" spans="2:13" ht="16.5" customHeight="1">
      <c r="B748" s="265" t="s">
        <v>2431</v>
      </c>
      <c r="C748" s="263" t="s">
        <v>422</v>
      </c>
      <c r="D748" s="263">
        <v>1</v>
      </c>
      <c r="E748" s="171">
        <v>45537</v>
      </c>
      <c r="F748" s="264">
        <v>2790043.3333333335</v>
      </c>
      <c r="G748" s="268">
        <v>3714970</v>
      </c>
      <c r="H748" s="264"/>
      <c r="I748" s="264">
        <v>4</v>
      </c>
      <c r="J748" s="272"/>
      <c r="K748" s="264"/>
      <c r="L748" s="264"/>
      <c r="M748" s="275"/>
    </row>
    <row r="749" spans="2:13" ht="16.5" customHeight="1">
      <c r="B749" s="265" t="s">
        <v>2432</v>
      </c>
      <c r="C749" s="263" t="s">
        <v>1125</v>
      </c>
      <c r="D749" s="263">
        <v>1</v>
      </c>
      <c r="E749" s="171">
        <v>45509</v>
      </c>
      <c r="F749" s="264">
        <v>4552333.333333333</v>
      </c>
      <c r="G749" s="268">
        <v>6410690</v>
      </c>
      <c r="H749" s="264"/>
      <c r="I749" s="264">
        <v>4</v>
      </c>
      <c r="J749" s="272"/>
      <c r="K749" s="264"/>
      <c r="L749" s="264"/>
      <c r="M749" s="275"/>
    </row>
    <row r="750" spans="2:13" ht="16.5" customHeight="1">
      <c r="B750" s="265" t="s">
        <v>2433</v>
      </c>
      <c r="C750" s="263" t="s">
        <v>1126</v>
      </c>
      <c r="D750" s="263">
        <v>1</v>
      </c>
      <c r="E750" s="171">
        <v>45545</v>
      </c>
      <c r="F750" s="264">
        <v>4312000</v>
      </c>
      <c r="G750" s="268">
        <v>5646950</v>
      </c>
      <c r="H750" s="264"/>
      <c r="I750" s="264">
        <v>4</v>
      </c>
      <c r="J750" s="272"/>
      <c r="K750" s="264"/>
      <c r="L750" s="264"/>
      <c r="M750" s="275"/>
    </row>
    <row r="751" spans="2:13" ht="16.5" customHeight="1">
      <c r="B751" s="265" t="s">
        <v>2434</v>
      </c>
      <c r="C751" s="263" t="s">
        <v>1127</v>
      </c>
      <c r="D751" s="263">
        <v>1</v>
      </c>
      <c r="E751" s="171">
        <v>45505</v>
      </c>
      <c r="F751" s="264">
        <v>4175000</v>
      </c>
      <c r="G751" s="268">
        <v>5925070</v>
      </c>
      <c r="H751" s="264"/>
      <c r="I751" s="264">
        <v>4</v>
      </c>
      <c r="J751" s="272"/>
      <c r="K751" s="264"/>
      <c r="L751" s="264"/>
      <c r="M751" s="275"/>
    </row>
  </sheetData>
  <autoFilter ref="A1:M751"/>
  <customSheetViews>
    <customSheetView guid="{43483F5C-8E8A-4730-B6D4-5C852E982BE9}" showPageBreaks="1" printArea="1">
      <pageMargins left="0.43307086614173229" right="0.27559055118110237" top="0.51181102362204722" bottom="0.74803149606299213" header="0.31496062992125984" footer="0.31496062992125984"/>
      <pageSetup paperSize="9" scale="51" fitToHeight="0" orientation="portrait" r:id="rId1"/>
      <headerFooter>
        <oddFooter>&amp;L&amp;G&amp;C&amp;A&amp;R&amp;P</oddFooter>
      </headerFooter>
    </customSheetView>
    <customSheetView guid="{D547A7EF-E679-4E79-95F6-4600943823D7}" showPageBreaks="1" printArea="1">
      <selection activeCell="B5" sqref="B5"/>
      <pageMargins left="0.43307086614173229" right="0.27559055118110237" top="0.94" bottom="0.74803149606299213" header="0.31496062992125984" footer="0.31496062992125984"/>
      <pageSetup paperSize="9" scale="51" fitToHeight="0" orientation="portrait" r:id="rId2"/>
      <headerFooter>
        <oddFooter>&amp;L&amp;G&amp;C&amp;A&amp;R&amp;P</oddFooter>
      </headerFooter>
    </customSheetView>
  </customSheetViews>
  <phoneticPr fontId="7" type="noConversion"/>
  <pageMargins left="0.43307086614173229" right="0.27559055118110237" top="0.51181102362204722" bottom="0.74803149606299213" header="0.31496062992125984" footer="0.31496062992125984"/>
  <pageSetup paperSize="9" scale="51" fitToHeight="0" orientation="portrait" r:id="rId3"/>
  <headerFooter>
    <oddFooter>&amp;L&amp;G&amp;C&amp;A&amp;R&amp;P</oddFooter>
  </headerFooter>
  <legacyDrawing r:id="rId4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8" tint="0.39997558519241921"/>
  </sheetPr>
  <dimension ref="A1:L510"/>
  <sheetViews>
    <sheetView zoomScaleNormal="100" zoomScaleSheetLayoutView="70" workbookViewId="0">
      <pane xSplit="5" ySplit="5" topLeftCell="G471" activePane="bottomRight" state="frozen"/>
      <selection pane="topRight" activeCell="F1" sqref="F1"/>
      <selection pane="bottomLeft" activeCell="A6" sqref="A6"/>
      <selection pane="bottomRight" activeCell="S482" sqref="S482"/>
    </sheetView>
  </sheetViews>
  <sheetFormatPr defaultRowHeight="15.75" customHeight="1"/>
  <cols>
    <col min="1" max="1" width="34.59765625" customWidth="1"/>
    <col min="2" max="2" width="11.19921875" bestFit="1" customWidth="1"/>
    <col min="3" max="3" width="11.59765625" customWidth="1"/>
    <col min="4" max="4" width="11.19921875" customWidth="1"/>
    <col min="5" max="5" width="11.59765625" customWidth="1"/>
    <col min="6" max="6" width="12.8984375" customWidth="1"/>
    <col min="7" max="7" width="13.5" style="273" customWidth="1"/>
    <col min="8" max="8" width="13.59765625" customWidth="1"/>
    <col min="9" max="9" width="14.59765625" customWidth="1"/>
    <col min="10" max="10" width="9.59765625" customWidth="1"/>
  </cols>
  <sheetData>
    <row r="1" spans="1:12" ht="46.5" customHeight="1">
      <c r="A1" s="19" t="s">
        <v>346</v>
      </c>
      <c r="B1" s="17" t="s">
        <v>273</v>
      </c>
      <c r="C1" s="257" t="s">
        <v>347</v>
      </c>
      <c r="D1" s="257" t="s">
        <v>348</v>
      </c>
      <c r="E1" s="257" t="s">
        <v>278</v>
      </c>
      <c r="F1" s="257" t="s">
        <v>349</v>
      </c>
      <c r="G1" s="252" t="s">
        <v>350</v>
      </c>
      <c r="H1" s="257" t="s">
        <v>317</v>
      </c>
      <c r="I1" s="257" t="s">
        <v>351</v>
      </c>
      <c r="J1" s="257" t="s">
        <v>352</v>
      </c>
      <c r="K1" s="9"/>
      <c r="L1" s="9"/>
    </row>
    <row r="2" spans="1:12" ht="16.5" customHeight="1">
      <c r="A2" s="11" t="s">
        <v>7</v>
      </c>
      <c r="B2" s="255">
        <v>751</v>
      </c>
      <c r="C2" s="255" t="s">
        <v>1232</v>
      </c>
      <c r="D2" s="263">
        <v>2</v>
      </c>
      <c r="E2" s="171">
        <v>40129</v>
      </c>
      <c r="F2" s="225" t="s">
        <v>1128</v>
      </c>
      <c r="G2" s="253">
        <v>66291490</v>
      </c>
      <c r="H2" s="255"/>
      <c r="I2" s="263" t="s">
        <v>1231</v>
      </c>
      <c r="K2" s="1"/>
      <c r="L2" s="1"/>
    </row>
    <row r="3" spans="1:12" ht="16.5" customHeight="1">
      <c r="A3" s="3" t="s">
        <v>353</v>
      </c>
      <c r="B3" s="263">
        <v>752</v>
      </c>
      <c r="C3" s="263" t="s">
        <v>1233</v>
      </c>
      <c r="D3" s="263">
        <v>1</v>
      </c>
      <c r="E3" s="171">
        <v>40452</v>
      </c>
      <c r="F3" s="225" t="s">
        <v>1128</v>
      </c>
      <c r="G3" s="253">
        <v>33810340</v>
      </c>
      <c r="H3" s="263"/>
      <c r="I3" s="263" t="s">
        <v>1231</v>
      </c>
      <c r="K3" s="1"/>
      <c r="L3" s="1"/>
    </row>
    <row r="4" spans="1:12" ht="16.5" customHeight="1">
      <c r="A4" s="3" t="s">
        <v>354</v>
      </c>
      <c r="B4" s="263">
        <v>753</v>
      </c>
      <c r="C4" s="263" t="s">
        <v>1234</v>
      </c>
      <c r="D4" s="263">
        <v>1</v>
      </c>
      <c r="E4" s="171">
        <v>41214</v>
      </c>
      <c r="F4" s="225" t="s">
        <v>1128</v>
      </c>
      <c r="G4" s="253">
        <v>69126270</v>
      </c>
      <c r="H4" s="263"/>
      <c r="I4" s="263" t="s">
        <v>1231</v>
      </c>
      <c r="K4" s="1"/>
      <c r="L4" s="1"/>
    </row>
    <row r="5" spans="1:12" ht="16.5" customHeight="1">
      <c r="A5" s="3" t="s">
        <v>355</v>
      </c>
      <c r="B5" s="263">
        <v>754</v>
      </c>
      <c r="C5" s="263" t="s">
        <v>1235</v>
      </c>
      <c r="D5" s="263">
        <v>2</v>
      </c>
      <c r="E5" s="171">
        <v>44242</v>
      </c>
      <c r="F5" s="225" t="s">
        <v>1128</v>
      </c>
      <c r="G5" s="253">
        <v>23483530</v>
      </c>
      <c r="H5" s="263"/>
      <c r="I5" s="263" t="s">
        <v>1231</v>
      </c>
      <c r="K5" s="1"/>
      <c r="L5" s="1"/>
    </row>
    <row r="6" spans="1:12" ht="16.5" customHeight="1">
      <c r="A6" s="3"/>
      <c r="B6" s="263">
        <v>755</v>
      </c>
      <c r="C6" s="263" t="s">
        <v>1236</v>
      </c>
      <c r="D6" s="263">
        <v>1</v>
      </c>
      <c r="E6" s="171">
        <v>44732</v>
      </c>
      <c r="F6" s="225" t="s">
        <v>1128</v>
      </c>
      <c r="G6" s="253">
        <v>14264030</v>
      </c>
      <c r="H6" s="263"/>
      <c r="I6" s="263" t="s">
        <v>1231</v>
      </c>
      <c r="K6" s="1"/>
      <c r="L6" s="1"/>
    </row>
    <row r="7" spans="1:12" ht="16.5" customHeight="1">
      <c r="B7" s="263">
        <v>756</v>
      </c>
      <c r="C7" s="263" t="s">
        <v>425</v>
      </c>
      <c r="D7" s="263">
        <v>1</v>
      </c>
      <c r="E7" s="171">
        <v>43885</v>
      </c>
      <c r="F7" s="225" t="s">
        <v>1128</v>
      </c>
      <c r="G7" s="253">
        <v>15862910</v>
      </c>
      <c r="H7" s="263"/>
      <c r="I7" s="263" t="s">
        <v>1231</v>
      </c>
    </row>
    <row r="8" spans="1:12" ht="16.5" customHeight="1">
      <c r="B8" s="263">
        <v>757</v>
      </c>
      <c r="C8" s="263" t="s">
        <v>1237</v>
      </c>
      <c r="D8" s="263">
        <v>2</v>
      </c>
      <c r="E8" s="171">
        <v>45112</v>
      </c>
      <c r="F8" s="225" t="s">
        <v>1128</v>
      </c>
      <c r="G8" s="253">
        <v>7984600</v>
      </c>
      <c r="H8" s="263"/>
      <c r="I8" s="263" t="s">
        <v>1231</v>
      </c>
    </row>
    <row r="9" spans="1:12" ht="16.5" customHeight="1">
      <c r="B9" s="263">
        <v>758</v>
      </c>
      <c r="C9" s="263" t="s">
        <v>1238</v>
      </c>
      <c r="D9" s="263">
        <v>1</v>
      </c>
      <c r="E9" s="171">
        <v>40518</v>
      </c>
      <c r="F9" s="225" t="s">
        <v>1128</v>
      </c>
      <c r="G9" s="253">
        <v>136870140</v>
      </c>
      <c r="H9" s="263"/>
      <c r="I9" s="263" t="s">
        <v>1231</v>
      </c>
    </row>
    <row r="10" spans="1:12" ht="16.5" customHeight="1">
      <c r="B10" s="263">
        <v>759</v>
      </c>
      <c r="C10" s="263" t="s">
        <v>1239</v>
      </c>
      <c r="D10" s="263">
        <v>1</v>
      </c>
      <c r="E10" s="171">
        <v>44298</v>
      </c>
      <c r="F10" s="225" t="s">
        <v>1128</v>
      </c>
      <c r="G10" s="253">
        <v>32841920</v>
      </c>
      <c r="H10" s="263"/>
      <c r="I10" s="263" t="s">
        <v>1231</v>
      </c>
    </row>
    <row r="11" spans="1:12" ht="16.5" customHeight="1">
      <c r="B11" s="263">
        <v>760</v>
      </c>
      <c r="C11" s="263" t="s">
        <v>703</v>
      </c>
      <c r="D11" s="263">
        <v>1</v>
      </c>
      <c r="E11" s="171">
        <v>44690</v>
      </c>
      <c r="F11" s="225" t="s">
        <v>1128</v>
      </c>
      <c r="G11" s="253">
        <v>20152640</v>
      </c>
      <c r="H11" s="263"/>
      <c r="I11" s="263" t="s">
        <v>1231</v>
      </c>
    </row>
    <row r="12" spans="1:12" ht="16.5" customHeight="1">
      <c r="B12" s="263">
        <v>761</v>
      </c>
      <c r="C12" s="263" t="s">
        <v>1240</v>
      </c>
      <c r="D12" s="263">
        <v>2</v>
      </c>
      <c r="E12" s="171">
        <v>44601</v>
      </c>
      <c r="F12" s="225" t="s">
        <v>1129</v>
      </c>
      <c r="G12" s="253">
        <v>14018690</v>
      </c>
      <c r="H12" s="263"/>
      <c r="I12" s="263" t="s">
        <v>1231</v>
      </c>
    </row>
    <row r="13" spans="1:12" ht="16.5" customHeight="1">
      <c r="B13" s="263">
        <v>762</v>
      </c>
      <c r="C13" s="263" t="s">
        <v>1241</v>
      </c>
      <c r="D13" s="263">
        <v>2</v>
      </c>
      <c r="E13" s="171">
        <v>45320</v>
      </c>
      <c r="F13" s="225" t="s">
        <v>1130</v>
      </c>
      <c r="G13" s="253">
        <v>2648390</v>
      </c>
      <c r="H13" s="263"/>
      <c r="I13" s="263" t="s">
        <v>1231</v>
      </c>
    </row>
    <row r="14" spans="1:12" ht="16.5" customHeight="1">
      <c r="B14" s="263">
        <v>763</v>
      </c>
      <c r="C14" s="263" t="s">
        <v>1242</v>
      </c>
      <c r="D14" s="263">
        <v>1</v>
      </c>
      <c r="E14" s="171">
        <v>44494</v>
      </c>
      <c r="F14" s="225" t="s">
        <v>1131</v>
      </c>
      <c r="G14" s="253">
        <v>14560870</v>
      </c>
      <c r="H14" s="263"/>
      <c r="I14" s="263" t="s">
        <v>1231</v>
      </c>
    </row>
    <row r="15" spans="1:12" ht="16.5" customHeight="1">
      <c r="B15" s="263">
        <v>764</v>
      </c>
      <c r="C15" s="263" t="s">
        <v>1243</v>
      </c>
      <c r="D15" s="263">
        <v>1</v>
      </c>
      <c r="E15" s="171">
        <v>45166</v>
      </c>
      <c r="F15" s="225" t="s">
        <v>1131</v>
      </c>
      <c r="G15" s="253">
        <v>11549020</v>
      </c>
      <c r="H15" s="263"/>
      <c r="I15" s="263" t="s">
        <v>1231</v>
      </c>
    </row>
    <row r="16" spans="1:12" ht="16.5" customHeight="1">
      <c r="B16" s="263">
        <v>765</v>
      </c>
      <c r="C16" s="263" t="s">
        <v>1244</v>
      </c>
      <c r="D16" s="263">
        <v>2</v>
      </c>
      <c r="E16" s="171">
        <v>45306</v>
      </c>
      <c r="F16" s="225" t="s">
        <v>1132</v>
      </c>
      <c r="G16" s="253">
        <v>3320400</v>
      </c>
      <c r="H16" s="263"/>
      <c r="I16" s="263" t="s">
        <v>1231</v>
      </c>
    </row>
    <row r="17" spans="2:9" ht="16.5" customHeight="1">
      <c r="B17" s="263">
        <v>766</v>
      </c>
      <c r="C17" s="263" t="s">
        <v>1081</v>
      </c>
      <c r="D17" s="263">
        <v>2</v>
      </c>
      <c r="E17" s="171">
        <v>44606</v>
      </c>
      <c r="F17" s="225" t="s">
        <v>1133</v>
      </c>
      <c r="G17" s="253">
        <v>9358230</v>
      </c>
      <c r="H17" s="263"/>
      <c r="I17" s="263" t="s">
        <v>1231</v>
      </c>
    </row>
    <row r="18" spans="2:9" ht="16.5" customHeight="1">
      <c r="B18" s="263">
        <v>767</v>
      </c>
      <c r="C18" s="263" t="s">
        <v>1245</v>
      </c>
      <c r="D18" s="263">
        <v>1</v>
      </c>
      <c r="E18" s="171">
        <v>44326</v>
      </c>
      <c r="F18" s="225" t="s">
        <v>1134</v>
      </c>
      <c r="G18" s="253">
        <v>21487470</v>
      </c>
      <c r="H18" s="263"/>
      <c r="I18" s="263" t="s">
        <v>1231</v>
      </c>
    </row>
    <row r="19" spans="2:9" ht="16.5" customHeight="1">
      <c r="B19" s="263">
        <v>768</v>
      </c>
      <c r="C19" s="263" t="s">
        <v>1246</v>
      </c>
      <c r="D19" s="263">
        <v>1</v>
      </c>
      <c r="E19" s="171">
        <v>44648</v>
      </c>
      <c r="F19" s="225" t="s">
        <v>1129</v>
      </c>
      <c r="G19" s="253">
        <v>11375310</v>
      </c>
      <c r="H19" s="263"/>
      <c r="I19" s="263" t="s">
        <v>1231</v>
      </c>
    </row>
    <row r="20" spans="2:9" ht="16.5" customHeight="1">
      <c r="B20" s="263">
        <v>769</v>
      </c>
      <c r="C20" s="263" t="s">
        <v>1247</v>
      </c>
      <c r="D20" s="263">
        <v>2</v>
      </c>
      <c r="E20" s="171">
        <v>44151</v>
      </c>
      <c r="F20" s="225" t="s">
        <v>1128</v>
      </c>
      <c r="G20" s="253">
        <v>17419310</v>
      </c>
      <c r="H20" s="263"/>
      <c r="I20" s="263" t="s">
        <v>1231</v>
      </c>
    </row>
    <row r="21" spans="2:9" ht="16.5" customHeight="1">
      <c r="B21" s="263">
        <v>770</v>
      </c>
      <c r="C21" s="263" t="s">
        <v>1248</v>
      </c>
      <c r="D21" s="263">
        <v>2</v>
      </c>
      <c r="E21" s="171">
        <v>44501</v>
      </c>
      <c r="F21" s="225" t="s">
        <v>1128</v>
      </c>
      <c r="G21" s="253">
        <v>10838940</v>
      </c>
      <c r="H21" s="263"/>
      <c r="I21" s="263" t="s">
        <v>1231</v>
      </c>
    </row>
    <row r="22" spans="2:9" ht="16.5" customHeight="1">
      <c r="B22" s="263">
        <v>771</v>
      </c>
      <c r="C22" s="263" t="s">
        <v>1249</v>
      </c>
      <c r="D22" s="263">
        <v>2</v>
      </c>
      <c r="E22" s="171">
        <v>44477</v>
      </c>
      <c r="F22" s="225" t="s">
        <v>1128</v>
      </c>
      <c r="G22" s="253">
        <v>12513990</v>
      </c>
      <c r="H22" s="263"/>
      <c r="I22" s="263" t="s">
        <v>1231</v>
      </c>
    </row>
    <row r="23" spans="2:9" ht="16.5" customHeight="1">
      <c r="B23" s="263">
        <v>772</v>
      </c>
      <c r="C23" s="263" t="s">
        <v>1250</v>
      </c>
      <c r="D23" s="263">
        <v>2</v>
      </c>
      <c r="E23" s="171">
        <v>44669</v>
      </c>
      <c r="F23" s="225" t="s">
        <v>1128</v>
      </c>
      <c r="G23" s="253">
        <v>8343450</v>
      </c>
      <c r="H23" s="263"/>
      <c r="I23" s="263" t="s">
        <v>1231</v>
      </c>
    </row>
    <row r="24" spans="2:9" ht="16.5" customHeight="1">
      <c r="B24" s="263">
        <v>773</v>
      </c>
      <c r="C24" s="263" t="s">
        <v>1251</v>
      </c>
      <c r="D24" s="263">
        <v>2</v>
      </c>
      <c r="E24" s="171">
        <v>44081</v>
      </c>
      <c r="F24" s="225" t="s">
        <v>1128</v>
      </c>
      <c r="G24" s="253">
        <v>18639370</v>
      </c>
      <c r="H24" s="263"/>
      <c r="I24" s="263" t="s">
        <v>1231</v>
      </c>
    </row>
    <row r="25" spans="2:9" ht="16.5" customHeight="1">
      <c r="B25" s="263">
        <v>774</v>
      </c>
      <c r="C25" s="263" t="s">
        <v>1252</v>
      </c>
      <c r="D25" s="263">
        <v>2</v>
      </c>
      <c r="E25" s="171">
        <v>45253</v>
      </c>
      <c r="F25" s="225" t="s">
        <v>1128</v>
      </c>
      <c r="G25" s="253">
        <v>3990520</v>
      </c>
      <c r="H25" s="263"/>
      <c r="I25" s="263" t="s">
        <v>1231</v>
      </c>
    </row>
    <row r="26" spans="2:9" ht="16.5" customHeight="1">
      <c r="B26" s="263">
        <v>775</v>
      </c>
      <c r="C26" s="263" t="s">
        <v>1253</v>
      </c>
      <c r="D26" s="263">
        <v>2</v>
      </c>
      <c r="E26" s="171">
        <v>44189</v>
      </c>
      <c r="F26" s="225" t="s">
        <v>1128</v>
      </c>
      <c r="G26" s="253">
        <v>19293770</v>
      </c>
      <c r="H26" s="263"/>
      <c r="I26" s="263" t="s">
        <v>1231</v>
      </c>
    </row>
    <row r="27" spans="2:9" ht="16.5" customHeight="1">
      <c r="B27" s="263">
        <v>776</v>
      </c>
      <c r="C27" s="263" t="s">
        <v>1254</v>
      </c>
      <c r="D27" s="263">
        <v>2</v>
      </c>
      <c r="E27" s="171">
        <v>43598</v>
      </c>
      <c r="F27" s="225" t="s">
        <v>1128</v>
      </c>
      <c r="G27" s="253">
        <v>23807110</v>
      </c>
      <c r="H27" s="263"/>
      <c r="I27" s="263" t="s">
        <v>1231</v>
      </c>
    </row>
    <row r="28" spans="2:9" ht="16.5" customHeight="1">
      <c r="B28" s="263">
        <v>777</v>
      </c>
      <c r="C28" s="263" t="s">
        <v>1255</v>
      </c>
      <c r="D28" s="263">
        <v>2</v>
      </c>
      <c r="E28" s="171">
        <v>43640</v>
      </c>
      <c r="F28" s="225" t="s">
        <v>1128</v>
      </c>
      <c r="G28" s="253">
        <v>20507670</v>
      </c>
      <c r="H28" s="263"/>
      <c r="I28" s="263" t="s">
        <v>1231</v>
      </c>
    </row>
    <row r="29" spans="2:9" ht="16.5" customHeight="1">
      <c r="B29" s="263">
        <v>778</v>
      </c>
      <c r="C29" s="263" t="s">
        <v>1256</v>
      </c>
      <c r="D29" s="263">
        <v>2</v>
      </c>
      <c r="E29" s="171">
        <v>44531</v>
      </c>
      <c r="F29" s="225" t="s">
        <v>1128</v>
      </c>
      <c r="G29" s="253">
        <v>10939060</v>
      </c>
      <c r="H29" s="263"/>
      <c r="I29" s="263" t="s">
        <v>1231</v>
      </c>
    </row>
    <row r="30" spans="2:9" ht="16.5" customHeight="1">
      <c r="B30" s="263">
        <v>779</v>
      </c>
      <c r="C30" s="263" t="s">
        <v>1257</v>
      </c>
      <c r="D30" s="263">
        <v>2</v>
      </c>
      <c r="E30" s="171">
        <v>44820</v>
      </c>
      <c r="F30" s="225" t="s">
        <v>1128</v>
      </c>
      <c r="G30" s="253">
        <v>7276440</v>
      </c>
      <c r="H30" s="263"/>
      <c r="I30" s="263" t="s">
        <v>1231</v>
      </c>
    </row>
    <row r="31" spans="2:9" ht="16.5" customHeight="1">
      <c r="B31" s="263">
        <v>780</v>
      </c>
      <c r="C31" s="263" t="s">
        <v>1258</v>
      </c>
      <c r="D31" s="263">
        <v>2</v>
      </c>
      <c r="E31" s="171">
        <v>44536</v>
      </c>
      <c r="F31" s="225" t="s">
        <v>1128</v>
      </c>
      <c r="G31" s="253">
        <v>11818920</v>
      </c>
      <c r="H31" s="263"/>
      <c r="I31" s="263" t="s">
        <v>1231</v>
      </c>
    </row>
    <row r="32" spans="2:9" ht="16.5" customHeight="1">
      <c r="B32" s="263">
        <v>781</v>
      </c>
      <c r="C32" s="263" t="s">
        <v>1259</v>
      </c>
      <c r="D32" s="263">
        <v>2</v>
      </c>
      <c r="E32" s="171">
        <v>43598</v>
      </c>
      <c r="F32" s="225" t="s">
        <v>1128</v>
      </c>
      <c r="G32" s="253">
        <v>19798140</v>
      </c>
      <c r="H32" s="263"/>
      <c r="I32" s="263" t="s">
        <v>1231</v>
      </c>
    </row>
    <row r="33" spans="2:9" ht="16.5" customHeight="1">
      <c r="B33" s="263">
        <v>782</v>
      </c>
      <c r="C33" s="263" t="s">
        <v>1260</v>
      </c>
      <c r="D33" s="263">
        <v>2</v>
      </c>
      <c r="E33" s="171">
        <v>44648</v>
      </c>
      <c r="F33" s="225" t="s">
        <v>1128</v>
      </c>
      <c r="G33" s="253">
        <v>8515230</v>
      </c>
      <c r="H33" s="263"/>
      <c r="I33" s="263" t="s">
        <v>1231</v>
      </c>
    </row>
    <row r="34" spans="2:9" ht="16.5" customHeight="1">
      <c r="B34" s="263">
        <v>783</v>
      </c>
      <c r="C34" s="263" t="s">
        <v>1261</v>
      </c>
      <c r="D34" s="263">
        <v>2</v>
      </c>
      <c r="E34" s="171">
        <v>44657</v>
      </c>
      <c r="F34" s="225" t="s">
        <v>1128</v>
      </c>
      <c r="G34" s="253">
        <v>8470450</v>
      </c>
      <c r="H34" s="263"/>
      <c r="I34" s="263" t="s">
        <v>1231</v>
      </c>
    </row>
    <row r="35" spans="2:9" ht="16.5" customHeight="1">
      <c r="B35" s="263">
        <v>784</v>
      </c>
      <c r="C35" s="263" t="s">
        <v>509</v>
      </c>
      <c r="D35" s="263">
        <v>2</v>
      </c>
      <c r="E35" s="171">
        <v>44721</v>
      </c>
      <c r="F35" s="225" t="s">
        <v>1128</v>
      </c>
      <c r="G35" s="253">
        <v>7931410</v>
      </c>
      <c r="H35" s="263"/>
      <c r="I35" s="263" t="s">
        <v>1231</v>
      </c>
    </row>
    <row r="36" spans="2:9" ht="16.5" customHeight="1">
      <c r="B36" s="263">
        <v>785</v>
      </c>
      <c r="C36" s="263" t="s">
        <v>1262</v>
      </c>
      <c r="D36" s="263">
        <v>2</v>
      </c>
      <c r="E36" s="171">
        <v>44160</v>
      </c>
      <c r="F36" s="225" t="s">
        <v>1128</v>
      </c>
      <c r="G36" s="253">
        <v>19502090</v>
      </c>
      <c r="H36" s="263"/>
      <c r="I36" s="263" t="s">
        <v>1231</v>
      </c>
    </row>
    <row r="37" spans="2:9" ht="16.5" customHeight="1">
      <c r="B37" s="263">
        <v>786</v>
      </c>
      <c r="C37" s="263" t="s">
        <v>1263</v>
      </c>
      <c r="D37" s="263">
        <v>2</v>
      </c>
      <c r="E37" s="171">
        <v>45068</v>
      </c>
      <c r="F37" s="225" t="s">
        <v>1128</v>
      </c>
      <c r="G37" s="253">
        <v>4970680</v>
      </c>
      <c r="H37" s="263"/>
      <c r="I37" s="263" t="s">
        <v>1231</v>
      </c>
    </row>
    <row r="38" spans="2:9" ht="16.5" customHeight="1">
      <c r="B38" s="263">
        <v>787</v>
      </c>
      <c r="C38" s="263" t="s">
        <v>1264</v>
      </c>
      <c r="D38" s="263">
        <v>2</v>
      </c>
      <c r="E38" s="171">
        <v>45404</v>
      </c>
      <c r="F38" s="225" t="s">
        <v>1128</v>
      </c>
      <c r="G38" s="253">
        <v>2300000</v>
      </c>
      <c r="H38" s="263"/>
      <c r="I38" s="263" t="s">
        <v>1231</v>
      </c>
    </row>
    <row r="39" spans="2:9" ht="16.5" customHeight="1">
      <c r="B39" s="263">
        <v>788</v>
      </c>
      <c r="C39" s="263" t="s">
        <v>1265</v>
      </c>
      <c r="D39" s="263">
        <v>2</v>
      </c>
      <c r="E39" s="171">
        <v>44240</v>
      </c>
      <c r="F39" s="225" t="s">
        <v>1128</v>
      </c>
      <c r="G39" s="253">
        <v>17727410</v>
      </c>
      <c r="H39" s="263"/>
      <c r="I39" s="263" t="s">
        <v>1231</v>
      </c>
    </row>
    <row r="40" spans="2:9" ht="16.5" customHeight="1">
      <c r="B40" s="263">
        <v>789</v>
      </c>
      <c r="C40" s="263" t="s">
        <v>1266</v>
      </c>
      <c r="D40" s="263">
        <v>2</v>
      </c>
      <c r="E40" s="171">
        <v>44109</v>
      </c>
      <c r="F40" s="225" t="s">
        <v>1128</v>
      </c>
      <c r="G40" s="253">
        <v>16157940</v>
      </c>
      <c r="H40" s="263"/>
      <c r="I40" s="263" t="s">
        <v>1231</v>
      </c>
    </row>
    <row r="41" spans="2:9" ht="16.5" customHeight="1">
      <c r="B41" s="263">
        <v>790</v>
      </c>
      <c r="C41" s="263" t="s">
        <v>1267</v>
      </c>
      <c r="D41" s="263">
        <v>2</v>
      </c>
      <c r="E41" s="171">
        <v>45572</v>
      </c>
      <c r="F41" s="225" t="s">
        <v>1128</v>
      </c>
      <c r="G41" s="253">
        <v>2500000</v>
      </c>
      <c r="H41" s="263"/>
      <c r="I41" s="263" t="s">
        <v>1231</v>
      </c>
    </row>
    <row r="42" spans="2:9" ht="16.5" customHeight="1">
      <c r="B42" s="263">
        <v>791</v>
      </c>
      <c r="C42" s="263" t="s">
        <v>1268</v>
      </c>
      <c r="D42" s="263">
        <v>2</v>
      </c>
      <c r="E42" s="171">
        <v>44158</v>
      </c>
      <c r="F42" s="225" t="s">
        <v>1128</v>
      </c>
      <c r="G42" s="253">
        <v>15418930</v>
      </c>
      <c r="H42" s="263"/>
      <c r="I42" s="263" t="s">
        <v>1231</v>
      </c>
    </row>
    <row r="43" spans="2:9" ht="16.5" customHeight="1">
      <c r="B43" s="263">
        <v>792</v>
      </c>
      <c r="C43" s="263" t="s">
        <v>1269</v>
      </c>
      <c r="D43" s="263">
        <v>2</v>
      </c>
      <c r="E43" s="171">
        <v>44151</v>
      </c>
      <c r="F43" s="225" t="s">
        <v>1128</v>
      </c>
      <c r="G43" s="253">
        <v>18683840</v>
      </c>
      <c r="H43" s="263"/>
      <c r="I43" s="263" t="s">
        <v>1231</v>
      </c>
    </row>
    <row r="44" spans="2:9" ht="16.5" customHeight="1">
      <c r="B44" s="263">
        <v>793</v>
      </c>
      <c r="C44" s="263" t="s">
        <v>1270</v>
      </c>
      <c r="D44" s="263">
        <v>2</v>
      </c>
      <c r="E44" s="171">
        <v>44302</v>
      </c>
      <c r="F44" s="225" t="s">
        <v>1128</v>
      </c>
      <c r="G44" s="253">
        <v>13945460</v>
      </c>
      <c r="H44" s="263"/>
      <c r="I44" s="263" t="s">
        <v>1231</v>
      </c>
    </row>
    <row r="45" spans="2:9" ht="16.5" customHeight="1">
      <c r="B45" s="263">
        <v>794</v>
      </c>
      <c r="C45" s="263" t="s">
        <v>1271</v>
      </c>
      <c r="D45" s="263">
        <v>2</v>
      </c>
      <c r="E45" s="171">
        <v>44793</v>
      </c>
      <c r="F45" s="225" t="s">
        <v>1128</v>
      </c>
      <c r="G45" s="253">
        <v>6765370</v>
      </c>
      <c r="H45" s="263"/>
      <c r="I45" s="263" t="s">
        <v>1231</v>
      </c>
    </row>
    <row r="46" spans="2:9" ht="16.5" customHeight="1">
      <c r="B46" s="263">
        <v>795</v>
      </c>
      <c r="C46" s="263" t="s">
        <v>1272</v>
      </c>
      <c r="D46" s="263">
        <v>2</v>
      </c>
      <c r="E46" s="171">
        <v>44319</v>
      </c>
      <c r="F46" s="225" t="s">
        <v>1128</v>
      </c>
      <c r="G46" s="253">
        <v>11206400</v>
      </c>
      <c r="H46" s="263"/>
      <c r="I46" s="263" t="s">
        <v>1231</v>
      </c>
    </row>
    <row r="47" spans="2:9" ht="16.5" customHeight="1">
      <c r="B47" s="263">
        <v>796</v>
      </c>
      <c r="C47" s="263" t="s">
        <v>1273</v>
      </c>
      <c r="D47" s="263">
        <v>2</v>
      </c>
      <c r="E47" s="171">
        <v>44146</v>
      </c>
      <c r="F47" s="225" t="s">
        <v>1128</v>
      </c>
      <c r="G47" s="253">
        <v>19485140</v>
      </c>
      <c r="H47" s="263"/>
      <c r="I47" s="263" t="s">
        <v>1231</v>
      </c>
    </row>
    <row r="48" spans="2:9" ht="16.5" customHeight="1">
      <c r="B48" s="263">
        <v>797</v>
      </c>
      <c r="C48" s="263" t="s">
        <v>1274</v>
      </c>
      <c r="D48" s="263">
        <v>2</v>
      </c>
      <c r="E48" s="171">
        <v>44718</v>
      </c>
      <c r="F48" s="225" t="s">
        <v>1128</v>
      </c>
      <c r="G48" s="253">
        <v>11521040</v>
      </c>
      <c r="H48" s="263"/>
      <c r="I48" s="263" t="s">
        <v>1231</v>
      </c>
    </row>
    <row r="49" spans="2:9" ht="16.5" customHeight="1">
      <c r="B49" s="263">
        <v>798</v>
      </c>
      <c r="C49" s="263" t="s">
        <v>1275</v>
      </c>
      <c r="D49" s="263">
        <v>2</v>
      </c>
      <c r="E49" s="171">
        <v>44144</v>
      </c>
      <c r="F49" s="225" t="s">
        <v>1128</v>
      </c>
      <c r="G49" s="253">
        <v>16767620</v>
      </c>
      <c r="H49" s="263"/>
      <c r="I49" s="263" t="s">
        <v>1231</v>
      </c>
    </row>
    <row r="50" spans="2:9" ht="16.5" customHeight="1">
      <c r="B50" s="263">
        <v>799</v>
      </c>
      <c r="C50" s="263" t="s">
        <v>1276</v>
      </c>
      <c r="D50" s="263">
        <v>2</v>
      </c>
      <c r="E50" s="171">
        <v>44501</v>
      </c>
      <c r="F50" s="225" t="s">
        <v>1128</v>
      </c>
      <c r="G50" s="253">
        <v>12673680</v>
      </c>
      <c r="H50" s="263"/>
      <c r="I50" s="263" t="s">
        <v>1231</v>
      </c>
    </row>
    <row r="51" spans="2:9" ht="16.5" customHeight="1">
      <c r="B51" s="263">
        <v>800</v>
      </c>
      <c r="C51" s="263" t="s">
        <v>1277</v>
      </c>
      <c r="D51" s="263">
        <v>2</v>
      </c>
      <c r="E51" s="171">
        <v>44963</v>
      </c>
      <c r="F51" s="225" t="s">
        <v>1128</v>
      </c>
      <c r="G51" s="253">
        <v>5794690</v>
      </c>
      <c r="H51" s="263"/>
      <c r="I51" s="263" t="s">
        <v>1231</v>
      </c>
    </row>
    <row r="52" spans="2:9" ht="16.5" customHeight="1">
      <c r="B52" s="263">
        <v>801</v>
      </c>
      <c r="C52" s="263" t="s">
        <v>1278</v>
      </c>
      <c r="D52" s="263">
        <v>2</v>
      </c>
      <c r="E52" s="171">
        <v>44197</v>
      </c>
      <c r="F52" s="225" t="s">
        <v>1128</v>
      </c>
      <c r="G52" s="253">
        <v>17721460</v>
      </c>
      <c r="H52" s="263"/>
      <c r="I52" s="263" t="s">
        <v>1231</v>
      </c>
    </row>
    <row r="53" spans="2:9" ht="16.5" customHeight="1">
      <c r="B53" s="263">
        <v>802</v>
      </c>
      <c r="C53" s="263" t="s">
        <v>1279</v>
      </c>
      <c r="D53" s="263">
        <v>2</v>
      </c>
      <c r="E53" s="171">
        <v>44986</v>
      </c>
      <c r="F53" s="225" t="s">
        <v>1128</v>
      </c>
      <c r="G53" s="253">
        <v>6991710</v>
      </c>
      <c r="H53" s="263"/>
      <c r="I53" s="263" t="s">
        <v>1231</v>
      </c>
    </row>
    <row r="54" spans="2:9" ht="16.5" customHeight="1">
      <c r="B54" s="263">
        <v>803</v>
      </c>
      <c r="C54" s="263" t="s">
        <v>1280</v>
      </c>
      <c r="D54" s="263">
        <v>2</v>
      </c>
      <c r="E54" s="171">
        <v>44928</v>
      </c>
      <c r="F54" s="225" t="s">
        <v>1128</v>
      </c>
      <c r="G54" s="253">
        <v>6717290</v>
      </c>
      <c r="H54" s="263"/>
      <c r="I54" s="263" t="s">
        <v>1231</v>
      </c>
    </row>
    <row r="55" spans="2:9" ht="16.5" customHeight="1">
      <c r="B55" s="263">
        <v>804</v>
      </c>
      <c r="C55" s="263" t="s">
        <v>1281</v>
      </c>
      <c r="D55" s="263">
        <v>1</v>
      </c>
      <c r="E55" s="171">
        <v>44207</v>
      </c>
      <c r="F55" s="225" t="s">
        <v>1128</v>
      </c>
      <c r="G55" s="253">
        <v>20168880</v>
      </c>
      <c r="H55" s="263"/>
      <c r="I55" s="263" t="s">
        <v>1231</v>
      </c>
    </row>
    <row r="56" spans="2:9" ht="16.5" customHeight="1">
      <c r="B56" s="263">
        <v>805</v>
      </c>
      <c r="C56" s="263" t="s">
        <v>1282</v>
      </c>
      <c r="D56" s="263">
        <v>1</v>
      </c>
      <c r="E56" s="171">
        <v>44494</v>
      </c>
      <c r="F56" s="225" t="s">
        <v>1128</v>
      </c>
      <c r="G56" s="253">
        <v>3164540</v>
      </c>
      <c r="H56" s="263"/>
      <c r="I56" s="263" t="s">
        <v>1231</v>
      </c>
    </row>
    <row r="57" spans="2:9" ht="16.5" customHeight="1">
      <c r="B57" s="263">
        <v>806</v>
      </c>
      <c r="C57" s="263" t="s">
        <v>1283</v>
      </c>
      <c r="D57" s="263">
        <v>1</v>
      </c>
      <c r="E57" s="171">
        <v>43976</v>
      </c>
      <c r="F57" s="225" t="s">
        <v>1128</v>
      </c>
      <c r="G57" s="253">
        <v>13832530</v>
      </c>
      <c r="H57" s="263"/>
      <c r="I57" s="263" t="s">
        <v>1231</v>
      </c>
    </row>
    <row r="58" spans="2:9" ht="16.5" customHeight="1">
      <c r="B58" s="263">
        <v>807</v>
      </c>
      <c r="C58" s="263" t="s">
        <v>1284</v>
      </c>
      <c r="D58" s="263">
        <v>1</v>
      </c>
      <c r="E58" s="171">
        <v>44529</v>
      </c>
      <c r="F58" s="225" t="s">
        <v>1128</v>
      </c>
      <c r="G58" s="253">
        <v>13549380</v>
      </c>
      <c r="H58" s="263"/>
      <c r="I58" s="263" t="s">
        <v>1231</v>
      </c>
    </row>
    <row r="59" spans="2:9" ht="16.5" customHeight="1">
      <c r="B59" s="263">
        <v>808</v>
      </c>
      <c r="C59" s="263" t="s">
        <v>1285</v>
      </c>
      <c r="D59" s="263">
        <v>1</v>
      </c>
      <c r="E59" s="171">
        <v>44529</v>
      </c>
      <c r="F59" s="225" t="s">
        <v>1128</v>
      </c>
      <c r="G59" s="253">
        <v>13158460</v>
      </c>
      <c r="H59" s="263"/>
      <c r="I59" s="263" t="s">
        <v>1231</v>
      </c>
    </row>
    <row r="60" spans="2:9" ht="16.5" customHeight="1">
      <c r="B60" s="263">
        <v>809</v>
      </c>
      <c r="C60" s="263" t="s">
        <v>1286</v>
      </c>
      <c r="D60" s="263">
        <v>2</v>
      </c>
      <c r="E60" s="171">
        <v>44525</v>
      </c>
      <c r="F60" s="225" t="s">
        <v>1135</v>
      </c>
      <c r="G60" s="253">
        <v>12318080</v>
      </c>
      <c r="H60" s="263"/>
      <c r="I60" s="263" t="s">
        <v>1231</v>
      </c>
    </row>
    <row r="61" spans="2:9" ht="16.5" customHeight="1">
      <c r="B61" s="263">
        <v>810</v>
      </c>
      <c r="C61" s="263" t="s">
        <v>1287</v>
      </c>
      <c r="D61" s="263">
        <v>2</v>
      </c>
      <c r="E61" s="171">
        <v>44938</v>
      </c>
      <c r="F61" s="225" t="s">
        <v>1135</v>
      </c>
      <c r="G61" s="253">
        <v>9061990</v>
      </c>
      <c r="H61" s="263"/>
      <c r="I61" s="263" t="s">
        <v>1231</v>
      </c>
    </row>
    <row r="62" spans="2:9" ht="16.5" customHeight="1">
      <c r="B62" s="263">
        <v>811</v>
      </c>
      <c r="C62" s="263" t="s">
        <v>1288</v>
      </c>
      <c r="D62" s="263">
        <v>2</v>
      </c>
      <c r="E62" s="171">
        <v>44609</v>
      </c>
      <c r="F62" s="225" t="s">
        <v>1136</v>
      </c>
      <c r="G62" s="253">
        <v>11322680</v>
      </c>
      <c r="H62" s="263"/>
      <c r="I62" s="263" t="s">
        <v>1231</v>
      </c>
    </row>
    <row r="63" spans="2:9" ht="16.5" customHeight="1">
      <c r="B63" s="263">
        <v>812</v>
      </c>
      <c r="C63" s="263" t="s">
        <v>1289</v>
      </c>
      <c r="D63" s="263">
        <v>2</v>
      </c>
      <c r="E63" s="171">
        <v>44727</v>
      </c>
      <c r="F63" s="225" t="s">
        <v>1136</v>
      </c>
      <c r="G63" s="253">
        <v>8246880</v>
      </c>
      <c r="H63" s="263"/>
      <c r="I63" s="263" t="s">
        <v>1231</v>
      </c>
    </row>
    <row r="64" spans="2:9" ht="16.5" customHeight="1">
      <c r="B64" s="263">
        <v>813</v>
      </c>
      <c r="C64" s="263" t="s">
        <v>1290</v>
      </c>
      <c r="D64" s="263">
        <v>2</v>
      </c>
      <c r="E64" s="171">
        <v>44834</v>
      </c>
      <c r="F64" s="225" t="s">
        <v>1136</v>
      </c>
      <c r="G64" s="253">
        <v>7136150</v>
      </c>
      <c r="H64" s="263"/>
      <c r="I64" s="263" t="s">
        <v>1231</v>
      </c>
    </row>
    <row r="65" spans="2:9" ht="16.5" customHeight="1">
      <c r="B65" s="263">
        <v>814</v>
      </c>
      <c r="C65" s="263" t="s">
        <v>1291</v>
      </c>
      <c r="D65" s="263">
        <v>2</v>
      </c>
      <c r="E65" s="171">
        <v>43832</v>
      </c>
      <c r="F65" s="225" t="s">
        <v>1136</v>
      </c>
      <c r="G65" s="253">
        <v>19928010</v>
      </c>
      <c r="H65" s="263"/>
      <c r="I65" s="263" t="s">
        <v>1231</v>
      </c>
    </row>
    <row r="66" spans="2:9" ht="16.5" customHeight="1">
      <c r="B66" s="263">
        <v>815</v>
      </c>
      <c r="C66" s="263" t="s">
        <v>1292</v>
      </c>
      <c r="D66" s="263">
        <v>2</v>
      </c>
      <c r="E66" s="171">
        <v>45328</v>
      </c>
      <c r="F66" s="225" t="s">
        <v>1137</v>
      </c>
      <c r="G66" s="253">
        <v>2963800</v>
      </c>
      <c r="H66" s="263"/>
      <c r="I66" s="263" t="s">
        <v>1231</v>
      </c>
    </row>
    <row r="67" spans="2:9" ht="16.5" customHeight="1">
      <c r="B67" s="263">
        <v>816</v>
      </c>
      <c r="C67" s="263" t="s">
        <v>1293</v>
      </c>
      <c r="D67" s="263">
        <v>2</v>
      </c>
      <c r="E67" s="171">
        <v>44963</v>
      </c>
      <c r="F67" s="225" t="s">
        <v>1137</v>
      </c>
      <c r="G67" s="253">
        <v>6439440</v>
      </c>
      <c r="H67" s="263"/>
      <c r="I67" s="263" t="s">
        <v>1231</v>
      </c>
    </row>
    <row r="68" spans="2:9" ht="16.5" customHeight="1">
      <c r="B68" s="263">
        <v>817</v>
      </c>
      <c r="C68" s="263" t="s">
        <v>1294</v>
      </c>
      <c r="D68" s="263">
        <v>2</v>
      </c>
      <c r="E68" s="171">
        <v>44214</v>
      </c>
      <c r="F68" s="225" t="s">
        <v>1138</v>
      </c>
      <c r="G68" s="253">
        <v>11674850</v>
      </c>
      <c r="H68" s="263"/>
      <c r="I68" s="263" t="s">
        <v>1231</v>
      </c>
    </row>
    <row r="69" spans="2:9" ht="16.5" customHeight="1">
      <c r="B69" s="263">
        <v>818</v>
      </c>
      <c r="C69" s="263" t="s">
        <v>1295</v>
      </c>
      <c r="D69" s="263">
        <v>1</v>
      </c>
      <c r="E69" s="171">
        <v>44601</v>
      </c>
      <c r="F69" s="225" t="s">
        <v>1135</v>
      </c>
      <c r="G69" s="253">
        <v>14901580</v>
      </c>
      <c r="H69" s="263"/>
      <c r="I69" s="263" t="s">
        <v>1231</v>
      </c>
    </row>
    <row r="70" spans="2:9" ht="16.5" customHeight="1">
      <c r="B70" s="263">
        <v>819</v>
      </c>
      <c r="C70" s="263" t="s">
        <v>1296</v>
      </c>
      <c r="D70" s="263">
        <v>1</v>
      </c>
      <c r="E70" s="171">
        <v>43977</v>
      </c>
      <c r="F70" s="225" t="s">
        <v>1139</v>
      </c>
      <c r="G70" s="253">
        <v>31429550</v>
      </c>
      <c r="H70" s="263"/>
      <c r="I70" s="263" t="s">
        <v>1231</v>
      </c>
    </row>
    <row r="71" spans="2:9" ht="16.5" customHeight="1">
      <c r="B71" s="263">
        <v>820</v>
      </c>
      <c r="C71" s="263" t="s">
        <v>1297</v>
      </c>
      <c r="D71" s="263">
        <v>2</v>
      </c>
      <c r="E71" s="171">
        <v>45347</v>
      </c>
      <c r="F71" s="225" t="s">
        <v>1141</v>
      </c>
      <c r="G71" s="253">
        <v>3286770</v>
      </c>
      <c r="H71" s="263"/>
      <c r="I71" s="263" t="s">
        <v>1231</v>
      </c>
    </row>
    <row r="72" spans="2:9" ht="16.5" customHeight="1">
      <c r="B72" s="263">
        <v>821</v>
      </c>
      <c r="C72" s="263" t="s">
        <v>1298</v>
      </c>
      <c r="D72" s="263">
        <v>2</v>
      </c>
      <c r="E72" s="171">
        <v>44606</v>
      </c>
      <c r="F72" s="225" t="s">
        <v>1141</v>
      </c>
      <c r="G72" s="253">
        <v>8068530</v>
      </c>
      <c r="H72" s="263"/>
      <c r="I72" s="263" t="s">
        <v>1231</v>
      </c>
    </row>
    <row r="73" spans="2:9" ht="16.5" customHeight="1">
      <c r="B73" s="263">
        <v>822</v>
      </c>
      <c r="C73" s="263" t="s">
        <v>1299</v>
      </c>
      <c r="D73" s="263">
        <v>2</v>
      </c>
      <c r="E73" s="171">
        <v>45345</v>
      </c>
      <c r="F73" s="225" t="s">
        <v>1142</v>
      </c>
      <c r="G73" s="253">
        <v>2763540</v>
      </c>
      <c r="H73" s="263"/>
      <c r="I73" s="263" t="s">
        <v>1231</v>
      </c>
    </row>
    <row r="74" spans="2:9" ht="16.5" customHeight="1">
      <c r="B74" s="263">
        <v>823</v>
      </c>
      <c r="C74" s="263" t="s">
        <v>1300</v>
      </c>
      <c r="D74" s="263">
        <v>2</v>
      </c>
      <c r="E74" s="171">
        <v>45345</v>
      </c>
      <c r="F74" s="225" t="s">
        <v>1142</v>
      </c>
      <c r="G74" s="253">
        <v>2648390</v>
      </c>
      <c r="H74" s="263"/>
      <c r="I74" s="263" t="s">
        <v>1231</v>
      </c>
    </row>
    <row r="75" spans="2:9" ht="16.5" customHeight="1">
      <c r="B75" s="263">
        <v>824</v>
      </c>
      <c r="C75" s="263" t="s">
        <v>757</v>
      </c>
      <c r="D75" s="263">
        <v>2</v>
      </c>
      <c r="E75" s="171">
        <v>44515</v>
      </c>
      <c r="F75" s="225" t="s">
        <v>1143</v>
      </c>
      <c r="G75" s="253">
        <v>12020610</v>
      </c>
      <c r="H75" s="263"/>
      <c r="I75" s="263" t="s">
        <v>1231</v>
      </c>
    </row>
    <row r="76" spans="2:9" ht="16.5" customHeight="1">
      <c r="B76" s="263">
        <v>825</v>
      </c>
      <c r="C76" s="263" t="s">
        <v>1037</v>
      </c>
      <c r="D76" s="263">
        <v>1</v>
      </c>
      <c r="E76" s="171">
        <v>44840</v>
      </c>
      <c r="F76" s="225" t="s">
        <v>1144</v>
      </c>
      <c r="G76" s="253">
        <v>8678200</v>
      </c>
      <c r="H76" s="263"/>
      <c r="I76" s="263" t="s">
        <v>1231</v>
      </c>
    </row>
    <row r="77" spans="2:9" ht="16.5" customHeight="1">
      <c r="B77" s="263">
        <v>826</v>
      </c>
      <c r="C77" s="263" t="s">
        <v>1301</v>
      </c>
      <c r="D77" s="263">
        <v>2</v>
      </c>
      <c r="E77" s="171">
        <v>43985</v>
      </c>
      <c r="F77" s="225" t="s">
        <v>1140</v>
      </c>
      <c r="G77" s="253">
        <v>21942290</v>
      </c>
      <c r="H77" s="263"/>
      <c r="I77" s="263" t="s">
        <v>1231</v>
      </c>
    </row>
    <row r="78" spans="2:9" ht="16.5" customHeight="1">
      <c r="B78" s="263">
        <v>827</v>
      </c>
      <c r="C78" s="263" t="s">
        <v>1302</v>
      </c>
      <c r="D78" s="263">
        <v>2</v>
      </c>
      <c r="E78" s="171">
        <v>45260</v>
      </c>
      <c r="F78" s="225" t="s">
        <v>1140</v>
      </c>
      <c r="G78" s="253">
        <v>23291820</v>
      </c>
      <c r="H78" s="263"/>
      <c r="I78" s="263" t="s">
        <v>1231</v>
      </c>
    </row>
    <row r="79" spans="2:9" ht="16.5" customHeight="1">
      <c r="B79" s="263">
        <v>828</v>
      </c>
      <c r="C79" s="263" t="s">
        <v>1303</v>
      </c>
      <c r="D79" s="263">
        <v>2</v>
      </c>
      <c r="E79" s="171">
        <v>45348</v>
      </c>
      <c r="F79" s="225" t="s">
        <v>1145</v>
      </c>
      <c r="G79" s="253">
        <v>2507170</v>
      </c>
      <c r="H79" s="263"/>
      <c r="I79" s="263" t="s">
        <v>1231</v>
      </c>
    </row>
    <row r="80" spans="2:9" ht="16.5" customHeight="1">
      <c r="B80" s="263">
        <v>829</v>
      </c>
      <c r="C80" s="263" t="s">
        <v>1304</v>
      </c>
      <c r="D80" s="263">
        <v>2</v>
      </c>
      <c r="E80" s="171">
        <v>45348</v>
      </c>
      <c r="F80" s="225" t="s">
        <v>1145</v>
      </c>
      <c r="G80" s="253">
        <v>2507170</v>
      </c>
      <c r="H80" s="263"/>
      <c r="I80" s="263" t="s">
        <v>1231</v>
      </c>
    </row>
    <row r="81" spans="2:9" ht="16.5" customHeight="1">
      <c r="B81" s="263">
        <v>830</v>
      </c>
      <c r="C81" s="263" t="s">
        <v>1305</v>
      </c>
      <c r="D81" s="263">
        <v>1</v>
      </c>
      <c r="E81" s="171">
        <v>44676</v>
      </c>
      <c r="F81" s="225" t="s">
        <v>1143</v>
      </c>
      <c r="G81" s="253">
        <v>14862890</v>
      </c>
      <c r="H81" s="263"/>
      <c r="I81" s="263" t="s">
        <v>1231</v>
      </c>
    </row>
    <row r="82" spans="2:9" ht="16.5" customHeight="1">
      <c r="B82" s="263">
        <v>831</v>
      </c>
      <c r="C82" s="263" t="s">
        <v>1306</v>
      </c>
      <c r="D82" s="263">
        <v>1</v>
      </c>
      <c r="E82" s="171">
        <v>44095</v>
      </c>
      <c r="F82" s="225" t="s">
        <v>1143</v>
      </c>
      <c r="G82" s="253">
        <v>24602200</v>
      </c>
      <c r="H82" s="263"/>
      <c r="I82" s="263" t="s">
        <v>1231</v>
      </c>
    </row>
    <row r="83" spans="2:9" ht="16.5" customHeight="1">
      <c r="B83" s="263">
        <v>832</v>
      </c>
      <c r="C83" s="263" t="s">
        <v>1307</v>
      </c>
      <c r="D83" s="263">
        <v>2</v>
      </c>
      <c r="E83" s="171">
        <v>44991</v>
      </c>
      <c r="F83" s="225" t="s">
        <v>1146</v>
      </c>
      <c r="G83" s="253">
        <v>5519520</v>
      </c>
      <c r="H83" s="263"/>
      <c r="I83" s="263" t="s">
        <v>1231</v>
      </c>
    </row>
    <row r="84" spans="2:9" ht="16.5" customHeight="1">
      <c r="B84" s="263">
        <v>833</v>
      </c>
      <c r="C84" s="263" t="s">
        <v>1308</v>
      </c>
      <c r="D84" s="263">
        <v>1</v>
      </c>
      <c r="E84" s="171">
        <v>43843</v>
      </c>
      <c r="F84" s="225" t="s">
        <v>1147</v>
      </c>
      <c r="G84" s="253">
        <v>14904540</v>
      </c>
      <c r="H84" s="263"/>
      <c r="I84" s="263" t="s">
        <v>1231</v>
      </c>
    </row>
    <row r="85" spans="2:9" ht="16.5" customHeight="1">
      <c r="B85" s="263">
        <v>834</v>
      </c>
      <c r="C85" s="263" t="s">
        <v>1309</v>
      </c>
      <c r="D85" s="263">
        <v>2</v>
      </c>
      <c r="E85" s="171">
        <v>44531</v>
      </c>
      <c r="F85" s="225" t="s">
        <v>1140</v>
      </c>
      <c r="G85" s="253">
        <v>12320620</v>
      </c>
      <c r="H85" s="263"/>
      <c r="I85" s="263" t="s">
        <v>1231</v>
      </c>
    </row>
    <row r="86" spans="2:9" ht="16.5" customHeight="1">
      <c r="B86" s="263">
        <v>835</v>
      </c>
      <c r="C86" s="263" t="s">
        <v>1310</v>
      </c>
      <c r="D86" s="263">
        <v>2</v>
      </c>
      <c r="E86" s="171">
        <v>44440</v>
      </c>
      <c r="F86" s="225" t="s">
        <v>1140</v>
      </c>
      <c r="G86" s="253">
        <v>11696890</v>
      </c>
      <c r="H86" s="263"/>
      <c r="I86" s="263" t="s">
        <v>1231</v>
      </c>
    </row>
    <row r="87" spans="2:9" ht="16.5" customHeight="1">
      <c r="B87" s="263">
        <v>836</v>
      </c>
      <c r="C87" s="263" t="s">
        <v>1311</v>
      </c>
      <c r="D87" s="263">
        <v>2</v>
      </c>
      <c r="E87" s="171">
        <v>45154</v>
      </c>
      <c r="F87" s="225" t="s">
        <v>1140</v>
      </c>
      <c r="G87" s="253">
        <v>4835610</v>
      </c>
      <c r="H87" s="263"/>
      <c r="I87" s="263" t="s">
        <v>1231</v>
      </c>
    </row>
    <row r="88" spans="2:9" ht="16.5" customHeight="1">
      <c r="B88" s="263">
        <v>837</v>
      </c>
      <c r="C88" s="263" t="s">
        <v>974</v>
      </c>
      <c r="D88" s="263">
        <v>2</v>
      </c>
      <c r="E88" s="171">
        <v>44308</v>
      </c>
      <c r="F88" s="225" t="s">
        <v>1140</v>
      </c>
      <c r="G88" s="253">
        <v>16599180</v>
      </c>
      <c r="H88" s="263"/>
      <c r="I88" s="263" t="s">
        <v>1231</v>
      </c>
    </row>
    <row r="89" spans="2:9" ht="16.5" customHeight="1">
      <c r="B89" s="263">
        <v>838</v>
      </c>
      <c r="C89" s="263" t="s">
        <v>1312</v>
      </c>
      <c r="D89" s="263">
        <v>2</v>
      </c>
      <c r="E89" s="171">
        <v>43696</v>
      </c>
      <c r="F89" s="225" t="s">
        <v>1140</v>
      </c>
      <c r="G89" s="253">
        <v>22889750</v>
      </c>
      <c r="H89" s="263"/>
      <c r="I89" s="263" t="s">
        <v>1231</v>
      </c>
    </row>
    <row r="90" spans="2:9" ht="16.5" customHeight="1">
      <c r="B90" s="263">
        <v>839</v>
      </c>
      <c r="C90" s="263" t="s">
        <v>1313</v>
      </c>
      <c r="D90" s="263">
        <v>2</v>
      </c>
      <c r="E90" s="171">
        <v>44158</v>
      </c>
      <c r="F90" s="225" t="s">
        <v>1140</v>
      </c>
      <c r="G90" s="253">
        <v>14223820</v>
      </c>
      <c r="H90" s="263"/>
      <c r="I90" s="263" t="s">
        <v>1231</v>
      </c>
    </row>
    <row r="91" spans="2:9" ht="16.5" customHeight="1">
      <c r="B91" s="263">
        <v>840</v>
      </c>
      <c r="C91" s="263" t="s">
        <v>1314</v>
      </c>
      <c r="D91" s="263">
        <v>2</v>
      </c>
      <c r="E91" s="171">
        <v>44802</v>
      </c>
      <c r="F91" s="225" t="s">
        <v>1140</v>
      </c>
      <c r="G91" s="253">
        <v>7484570</v>
      </c>
      <c r="H91" s="263"/>
      <c r="I91" s="263" t="s">
        <v>1231</v>
      </c>
    </row>
    <row r="92" spans="2:9" ht="16.5" customHeight="1">
      <c r="B92" s="263">
        <v>841</v>
      </c>
      <c r="C92" s="263" t="s">
        <v>1315</v>
      </c>
      <c r="D92" s="263">
        <v>2</v>
      </c>
      <c r="E92" s="171">
        <v>45021</v>
      </c>
      <c r="F92" s="225" t="s">
        <v>1140</v>
      </c>
      <c r="G92" s="253">
        <v>5058300</v>
      </c>
      <c r="H92" s="263"/>
      <c r="I92" s="263" t="s">
        <v>1231</v>
      </c>
    </row>
    <row r="93" spans="2:9" ht="16.5" customHeight="1">
      <c r="B93" s="263">
        <v>842</v>
      </c>
      <c r="C93" s="263" t="s">
        <v>1316</v>
      </c>
      <c r="D93" s="263">
        <v>2</v>
      </c>
      <c r="E93" s="171">
        <v>44166</v>
      </c>
      <c r="F93" s="225" t="s">
        <v>1140</v>
      </c>
      <c r="G93" s="253">
        <v>15126750</v>
      </c>
      <c r="H93" s="263"/>
      <c r="I93" s="263" t="s">
        <v>1231</v>
      </c>
    </row>
    <row r="94" spans="2:9" ht="16.5" customHeight="1">
      <c r="B94" s="263">
        <v>843</v>
      </c>
      <c r="C94" s="263" t="s">
        <v>1317</v>
      </c>
      <c r="D94" s="263">
        <v>2</v>
      </c>
      <c r="E94" s="171">
        <v>44198</v>
      </c>
      <c r="F94" s="225" t="s">
        <v>1140</v>
      </c>
      <c r="G94" s="253">
        <v>10991520</v>
      </c>
      <c r="H94" s="263"/>
      <c r="I94" s="263" t="s">
        <v>1231</v>
      </c>
    </row>
    <row r="95" spans="2:9" ht="16.5" customHeight="1">
      <c r="B95" s="263">
        <v>844</v>
      </c>
      <c r="C95" s="263" t="s">
        <v>1318</v>
      </c>
      <c r="D95" s="263">
        <v>2</v>
      </c>
      <c r="E95" s="171">
        <v>44666</v>
      </c>
      <c r="F95" s="225" t="s">
        <v>1140</v>
      </c>
      <c r="G95" s="253">
        <v>8597030</v>
      </c>
      <c r="H95" s="263"/>
      <c r="I95" s="263" t="s">
        <v>1231</v>
      </c>
    </row>
    <row r="96" spans="2:9" ht="16.5" customHeight="1">
      <c r="B96" s="263">
        <v>845</v>
      </c>
      <c r="C96" s="263" t="s">
        <v>1319</v>
      </c>
      <c r="D96" s="263">
        <v>2</v>
      </c>
      <c r="E96" s="171">
        <v>44228</v>
      </c>
      <c r="F96" s="225" t="s">
        <v>1140</v>
      </c>
      <c r="G96" s="253">
        <v>18190530</v>
      </c>
      <c r="H96" s="263"/>
      <c r="I96" s="263" t="s">
        <v>1231</v>
      </c>
    </row>
    <row r="97" spans="2:9" ht="16.5" customHeight="1">
      <c r="B97" s="263">
        <v>846</v>
      </c>
      <c r="C97" s="263" t="s">
        <v>1320</v>
      </c>
      <c r="D97" s="263">
        <v>1</v>
      </c>
      <c r="E97" s="171">
        <v>44630</v>
      </c>
      <c r="F97" s="225" t="s">
        <v>1140</v>
      </c>
      <c r="G97" s="253">
        <v>11049520</v>
      </c>
      <c r="H97" s="263"/>
      <c r="I97" s="263" t="s">
        <v>1231</v>
      </c>
    </row>
    <row r="98" spans="2:9" ht="16.5" customHeight="1">
      <c r="B98" s="263">
        <v>847</v>
      </c>
      <c r="C98" s="263" t="s">
        <v>1321</v>
      </c>
      <c r="D98" s="263">
        <v>2</v>
      </c>
      <c r="E98" s="171">
        <v>44723</v>
      </c>
      <c r="F98" s="225" t="s">
        <v>1140</v>
      </c>
      <c r="G98" s="253">
        <v>10730780</v>
      </c>
      <c r="H98" s="263"/>
      <c r="I98" s="263" t="s">
        <v>1231</v>
      </c>
    </row>
    <row r="99" spans="2:9" ht="16.5" customHeight="1">
      <c r="B99" s="263">
        <v>848</v>
      </c>
      <c r="C99" s="263" t="s">
        <v>1322</v>
      </c>
      <c r="D99" s="263">
        <v>2</v>
      </c>
      <c r="E99" s="171">
        <v>45566</v>
      </c>
      <c r="F99" s="225" t="s">
        <v>1140</v>
      </c>
      <c r="G99" s="253">
        <v>2400000</v>
      </c>
      <c r="H99" s="263"/>
      <c r="I99" s="263" t="s">
        <v>1231</v>
      </c>
    </row>
    <row r="100" spans="2:9" ht="16.5" customHeight="1">
      <c r="B100" s="263">
        <v>849</v>
      </c>
      <c r="C100" s="263" t="s">
        <v>1323</v>
      </c>
      <c r="D100" s="263">
        <v>2</v>
      </c>
      <c r="E100" s="171">
        <v>44536</v>
      </c>
      <c r="F100" s="225" t="s">
        <v>1140</v>
      </c>
      <c r="G100" s="253">
        <v>11889730</v>
      </c>
      <c r="H100" s="263"/>
      <c r="I100" s="263" t="s">
        <v>1231</v>
      </c>
    </row>
    <row r="101" spans="2:9" ht="16.5" customHeight="1">
      <c r="B101" s="263">
        <v>850</v>
      </c>
      <c r="C101" s="263" t="s">
        <v>1324</v>
      </c>
      <c r="D101" s="263">
        <v>2</v>
      </c>
      <c r="E101" s="171">
        <v>44169</v>
      </c>
      <c r="F101" s="225" t="s">
        <v>1140</v>
      </c>
      <c r="G101" s="253">
        <v>12662420</v>
      </c>
      <c r="H101" s="263"/>
      <c r="I101" s="263" t="s">
        <v>1231</v>
      </c>
    </row>
    <row r="102" spans="2:9" ht="16.5" customHeight="1">
      <c r="B102" s="263">
        <v>851</v>
      </c>
      <c r="C102" s="263" t="s">
        <v>1325</v>
      </c>
      <c r="D102" s="263">
        <v>2</v>
      </c>
      <c r="E102" s="171">
        <v>44823</v>
      </c>
      <c r="F102" s="225" t="s">
        <v>1140</v>
      </c>
      <c r="G102" s="253">
        <v>7031530</v>
      </c>
      <c r="H102" s="263"/>
      <c r="I102" s="263" t="s">
        <v>1231</v>
      </c>
    </row>
    <row r="103" spans="2:9" ht="16.5" customHeight="1">
      <c r="B103" s="263">
        <v>852</v>
      </c>
      <c r="C103" s="263" t="s">
        <v>1326</v>
      </c>
      <c r="D103" s="263">
        <v>2</v>
      </c>
      <c r="E103" s="171">
        <v>44151</v>
      </c>
      <c r="F103" s="225" t="s">
        <v>1140</v>
      </c>
      <c r="G103" s="253">
        <v>20452330</v>
      </c>
      <c r="H103" s="263"/>
      <c r="I103" s="263" t="s">
        <v>1231</v>
      </c>
    </row>
    <row r="104" spans="2:9" ht="16.5" customHeight="1">
      <c r="B104" s="263">
        <v>853</v>
      </c>
      <c r="C104" s="263" t="s">
        <v>1327</v>
      </c>
      <c r="D104" s="263">
        <v>2</v>
      </c>
      <c r="E104" s="171">
        <v>44487</v>
      </c>
      <c r="F104" s="225" t="s">
        <v>1140</v>
      </c>
      <c r="G104" s="253">
        <v>10436990</v>
      </c>
      <c r="H104" s="263"/>
      <c r="I104" s="263" t="s">
        <v>1231</v>
      </c>
    </row>
    <row r="105" spans="2:9" ht="16.5" customHeight="1">
      <c r="B105" s="263">
        <v>854</v>
      </c>
      <c r="C105" s="263" t="s">
        <v>1328</v>
      </c>
      <c r="D105" s="263">
        <v>2</v>
      </c>
      <c r="E105" s="171">
        <v>44800</v>
      </c>
      <c r="F105" s="225" t="s">
        <v>1140</v>
      </c>
      <c r="G105" s="253">
        <v>6954250</v>
      </c>
      <c r="H105" s="263"/>
      <c r="I105" s="263" t="s">
        <v>1231</v>
      </c>
    </row>
    <row r="106" spans="2:9" ht="16.5" customHeight="1">
      <c r="B106" s="263">
        <v>855</v>
      </c>
      <c r="C106" s="263" t="s">
        <v>1329</v>
      </c>
      <c r="D106" s="263">
        <v>2</v>
      </c>
      <c r="E106" s="171">
        <v>45271</v>
      </c>
      <c r="F106" s="225" t="s">
        <v>1140</v>
      </c>
      <c r="G106" s="253">
        <v>3684500</v>
      </c>
      <c r="H106" s="263"/>
      <c r="I106" s="263" t="s">
        <v>1231</v>
      </c>
    </row>
    <row r="107" spans="2:9" ht="16.5" customHeight="1">
      <c r="B107" s="263">
        <v>856</v>
      </c>
      <c r="C107" s="263" t="s">
        <v>1330</v>
      </c>
      <c r="D107" s="263">
        <v>2</v>
      </c>
      <c r="E107" s="171">
        <v>44186</v>
      </c>
      <c r="F107" s="225" t="s">
        <v>1140</v>
      </c>
      <c r="G107" s="253">
        <v>19754390</v>
      </c>
      <c r="H107" s="263"/>
      <c r="I107" s="263" t="s">
        <v>1231</v>
      </c>
    </row>
    <row r="108" spans="2:9" ht="16.5" customHeight="1">
      <c r="B108" s="263">
        <v>857</v>
      </c>
      <c r="C108" s="263" t="s">
        <v>1331</v>
      </c>
      <c r="D108" s="263">
        <v>2</v>
      </c>
      <c r="E108" s="171">
        <v>43922</v>
      </c>
      <c r="F108" s="225" t="s">
        <v>1140</v>
      </c>
      <c r="G108" s="253">
        <v>14275370</v>
      </c>
      <c r="H108" s="263"/>
      <c r="I108" s="263" t="s">
        <v>1231</v>
      </c>
    </row>
    <row r="109" spans="2:9" ht="16.5" customHeight="1">
      <c r="B109" s="263">
        <v>858</v>
      </c>
      <c r="C109" s="263" t="s">
        <v>1332</v>
      </c>
      <c r="D109" s="263">
        <v>2</v>
      </c>
      <c r="E109" s="171">
        <v>44571</v>
      </c>
      <c r="F109" s="225" t="s">
        <v>1140</v>
      </c>
      <c r="G109" s="253">
        <v>9427940</v>
      </c>
      <c r="H109" s="263"/>
      <c r="I109" s="263" t="s">
        <v>1231</v>
      </c>
    </row>
    <row r="110" spans="2:9" ht="16.5" customHeight="1">
      <c r="B110" s="263">
        <v>859</v>
      </c>
      <c r="C110" s="263" t="s">
        <v>758</v>
      </c>
      <c r="D110" s="263">
        <v>2</v>
      </c>
      <c r="E110" s="171">
        <v>45323</v>
      </c>
      <c r="F110" s="225" t="s">
        <v>1140</v>
      </c>
      <c r="G110" s="253">
        <v>3349320</v>
      </c>
      <c r="H110" s="263"/>
      <c r="I110" s="263" t="s">
        <v>1231</v>
      </c>
    </row>
    <row r="111" spans="2:9" ht="16.5" customHeight="1">
      <c r="B111" s="263">
        <v>860</v>
      </c>
      <c r="C111" s="263" t="s">
        <v>1333</v>
      </c>
      <c r="D111" s="263">
        <v>2</v>
      </c>
      <c r="E111" s="171">
        <v>44638</v>
      </c>
      <c r="F111" s="225" t="s">
        <v>1140</v>
      </c>
      <c r="G111" s="253">
        <v>11344320</v>
      </c>
      <c r="H111" s="263"/>
      <c r="I111" s="263" t="s">
        <v>1231</v>
      </c>
    </row>
    <row r="112" spans="2:9" ht="16.5" customHeight="1">
      <c r="B112" s="263">
        <v>861</v>
      </c>
      <c r="C112" s="263" t="s">
        <v>1334</v>
      </c>
      <c r="D112" s="263">
        <v>2</v>
      </c>
      <c r="E112" s="171">
        <v>45352</v>
      </c>
      <c r="F112" s="225" t="s">
        <v>1140</v>
      </c>
      <c r="G112" s="253">
        <v>3020130</v>
      </c>
      <c r="H112" s="263"/>
      <c r="I112" s="263" t="s">
        <v>1231</v>
      </c>
    </row>
    <row r="113" spans="2:9" ht="16.5" customHeight="1">
      <c r="B113" s="263">
        <v>862</v>
      </c>
      <c r="C113" s="263" t="s">
        <v>1335</v>
      </c>
      <c r="D113" s="263">
        <v>2</v>
      </c>
      <c r="E113" s="171">
        <v>44161</v>
      </c>
      <c r="F113" s="225" t="s">
        <v>1140</v>
      </c>
      <c r="G113" s="253">
        <v>20028880</v>
      </c>
      <c r="H113" s="263"/>
      <c r="I113" s="263" t="s">
        <v>1231</v>
      </c>
    </row>
    <row r="114" spans="2:9" ht="16.5" customHeight="1">
      <c r="B114" s="263">
        <v>863</v>
      </c>
      <c r="C114" s="263" t="s">
        <v>1262</v>
      </c>
      <c r="D114" s="263">
        <v>2</v>
      </c>
      <c r="E114" s="171">
        <v>44109</v>
      </c>
      <c r="F114" s="225" t="s">
        <v>1140</v>
      </c>
      <c r="G114" s="253">
        <v>18212130</v>
      </c>
      <c r="H114" s="263"/>
      <c r="I114" s="263" t="s">
        <v>1231</v>
      </c>
    </row>
    <row r="115" spans="2:9" ht="16.5" customHeight="1">
      <c r="B115" s="263">
        <v>864</v>
      </c>
      <c r="C115" s="263" t="s">
        <v>1336</v>
      </c>
      <c r="D115" s="263">
        <v>2</v>
      </c>
      <c r="E115" s="171">
        <v>44287</v>
      </c>
      <c r="F115" s="225" t="s">
        <v>1140</v>
      </c>
      <c r="G115" s="253">
        <v>10347520</v>
      </c>
      <c r="H115" s="263"/>
      <c r="I115" s="263" t="s">
        <v>1231</v>
      </c>
    </row>
    <row r="116" spans="2:9" ht="16.5" customHeight="1">
      <c r="B116" s="263">
        <v>865</v>
      </c>
      <c r="C116" s="263" t="s">
        <v>1337</v>
      </c>
      <c r="D116" s="263">
        <v>2</v>
      </c>
      <c r="E116" s="171">
        <v>44519</v>
      </c>
      <c r="F116" s="225" t="s">
        <v>1140</v>
      </c>
      <c r="G116" s="253">
        <v>8668760</v>
      </c>
      <c r="H116" s="263"/>
      <c r="I116" s="263" t="s">
        <v>1231</v>
      </c>
    </row>
    <row r="117" spans="2:9" ht="16.5" customHeight="1">
      <c r="B117" s="263">
        <v>866</v>
      </c>
      <c r="C117" s="263" t="s">
        <v>1338</v>
      </c>
      <c r="D117" s="263">
        <v>2</v>
      </c>
      <c r="E117" s="171">
        <v>44613</v>
      </c>
      <c r="F117" s="225" t="s">
        <v>1140</v>
      </c>
      <c r="G117" s="253">
        <v>8335900</v>
      </c>
      <c r="H117" s="263"/>
      <c r="I117" s="263" t="s">
        <v>1231</v>
      </c>
    </row>
    <row r="118" spans="2:9" ht="16.5" customHeight="1">
      <c r="B118" s="263">
        <v>867</v>
      </c>
      <c r="C118" s="263" t="s">
        <v>1339</v>
      </c>
      <c r="D118" s="263">
        <v>2</v>
      </c>
      <c r="E118" s="171">
        <v>44546</v>
      </c>
      <c r="F118" s="225" t="s">
        <v>1140</v>
      </c>
      <c r="G118" s="253">
        <v>8473390</v>
      </c>
      <c r="H118" s="263"/>
      <c r="I118" s="263" t="s">
        <v>1231</v>
      </c>
    </row>
    <row r="119" spans="2:9" ht="16.5" customHeight="1">
      <c r="B119" s="263">
        <v>868</v>
      </c>
      <c r="C119" s="263" t="s">
        <v>1340</v>
      </c>
      <c r="D119" s="263">
        <v>2</v>
      </c>
      <c r="E119" s="171">
        <v>44210</v>
      </c>
      <c r="F119" s="225" t="s">
        <v>1140</v>
      </c>
      <c r="G119" s="253">
        <v>13867260</v>
      </c>
      <c r="H119" s="263"/>
      <c r="I119" s="263" t="s">
        <v>1231</v>
      </c>
    </row>
    <row r="120" spans="2:9" ht="16.5" customHeight="1">
      <c r="B120" s="263">
        <v>869</v>
      </c>
      <c r="C120" s="263" t="s">
        <v>1341</v>
      </c>
      <c r="D120" s="263">
        <v>2</v>
      </c>
      <c r="E120" s="171">
        <v>45103</v>
      </c>
      <c r="F120" s="225" t="s">
        <v>1140</v>
      </c>
      <c r="G120" s="253">
        <v>5022430</v>
      </c>
      <c r="H120" s="263"/>
      <c r="I120" s="263" t="s">
        <v>1231</v>
      </c>
    </row>
    <row r="121" spans="2:9" ht="16.5" customHeight="1">
      <c r="B121" s="263">
        <v>870</v>
      </c>
      <c r="C121" s="263" t="s">
        <v>1342</v>
      </c>
      <c r="D121" s="263">
        <v>2</v>
      </c>
      <c r="E121" s="171">
        <v>44621</v>
      </c>
      <c r="F121" s="225" t="s">
        <v>1140</v>
      </c>
      <c r="G121" s="253">
        <v>12231090</v>
      </c>
      <c r="H121" s="263"/>
      <c r="I121" s="263" t="s">
        <v>1231</v>
      </c>
    </row>
    <row r="122" spans="2:9" ht="16.5" customHeight="1">
      <c r="B122" s="263">
        <v>871</v>
      </c>
      <c r="C122" s="263" t="s">
        <v>1343</v>
      </c>
      <c r="D122" s="263">
        <v>2</v>
      </c>
      <c r="E122" s="171">
        <v>45017</v>
      </c>
      <c r="F122" s="225" t="s">
        <v>1140</v>
      </c>
      <c r="G122" s="253">
        <v>5913470</v>
      </c>
      <c r="H122" s="263"/>
      <c r="I122" s="263" t="s">
        <v>1231</v>
      </c>
    </row>
    <row r="123" spans="2:9" ht="16.5" customHeight="1">
      <c r="B123" s="263">
        <v>872</v>
      </c>
      <c r="C123" s="263" t="s">
        <v>1344</v>
      </c>
      <c r="D123" s="263">
        <v>2</v>
      </c>
      <c r="E123" s="171">
        <v>44839</v>
      </c>
      <c r="F123" s="225" t="s">
        <v>1140</v>
      </c>
      <c r="G123" s="253">
        <v>8676340</v>
      </c>
      <c r="H123" s="263"/>
      <c r="I123" s="263" t="s">
        <v>1231</v>
      </c>
    </row>
    <row r="124" spans="2:9" ht="16.5" customHeight="1">
      <c r="B124" s="263">
        <v>873</v>
      </c>
      <c r="C124" s="263" t="s">
        <v>1345</v>
      </c>
      <c r="D124" s="263">
        <v>2</v>
      </c>
      <c r="E124" s="171">
        <v>44613</v>
      </c>
      <c r="F124" s="225" t="s">
        <v>1140</v>
      </c>
      <c r="G124" s="253">
        <v>12092840</v>
      </c>
      <c r="H124" s="263"/>
      <c r="I124" s="263" t="s">
        <v>1231</v>
      </c>
    </row>
    <row r="125" spans="2:9" ht="16.5" customHeight="1">
      <c r="B125" s="263">
        <v>874</v>
      </c>
      <c r="C125" s="263" t="s">
        <v>1346</v>
      </c>
      <c r="D125" s="263">
        <v>2</v>
      </c>
      <c r="E125" s="171">
        <v>44564</v>
      </c>
      <c r="F125" s="225" t="s">
        <v>1140</v>
      </c>
      <c r="G125" s="253">
        <v>9154770</v>
      </c>
      <c r="H125" s="263"/>
      <c r="I125" s="263" t="s">
        <v>1231</v>
      </c>
    </row>
    <row r="126" spans="2:9" ht="16.5" customHeight="1">
      <c r="B126" s="263">
        <v>875</v>
      </c>
      <c r="C126" s="263" t="s">
        <v>1347</v>
      </c>
      <c r="D126" s="263">
        <v>2</v>
      </c>
      <c r="E126" s="171">
        <v>44396</v>
      </c>
      <c r="F126" s="225" t="s">
        <v>1140</v>
      </c>
      <c r="G126" s="253">
        <v>15986730</v>
      </c>
      <c r="H126" s="263"/>
      <c r="I126" s="263" t="s">
        <v>1231</v>
      </c>
    </row>
    <row r="127" spans="2:9" ht="15.75" customHeight="1">
      <c r="B127" s="263">
        <v>876</v>
      </c>
      <c r="C127" s="263" t="s">
        <v>1348</v>
      </c>
      <c r="D127" s="263">
        <v>2</v>
      </c>
      <c r="E127" s="171">
        <v>44298</v>
      </c>
      <c r="F127" s="225" t="s">
        <v>1140</v>
      </c>
      <c r="G127" s="253">
        <v>19285080</v>
      </c>
      <c r="H127" s="263"/>
      <c r="I127" s="263" t="s">
        <v>1231</v>
      </c>
    </row>
    <row r="128" spans="2:9" ht="15.75" customHeight="1">
      <c r="B128" s="263">
        <v>877</v>
      </c>
      <c r="C128" s="263" t="s">
        <v>723</v>
      </c>
      <c r="D128" s="263">
        <v>2</v>
      </c>
      <c r="E128" s="171">
        <v>44522</v>
      </c>
      <c r="F128" s="225" t="s">
        <v>1140</v>
      </c>
      <c r="G128" s="253">
        <v>10403550</v>
      </c>
      <c r="H128" s="263"/>
      <c r="I128" s="263" t="s">
        <v>1231</v>
      </c>
    </row>
    <row r="129" spans="2:9" ht="15.75" customHeight="1">
      <c r="B129" s="263">
        <v>878</v>
      </c>
      <c r="C129" s="263" t="s">
        <v>1349</v>
      </c>
      <c r="D129" s="263">
        <v>2</v>
      </c>
      <c r="E129" s="171">
        <v>44886</v>
      </c>
      <c r="F129" s="225" t="s">
        <v>1140</v>
      </c>
      <c r="G129" s="253">
        <v>9525090</v>
      </c>
      <c r="H129" s="263"/>
      <c r="I129" s="263" t="s">
        <v>1231</v>
      </c>
    </row>
    <row r="130" spans="2:9" ht="15.75" customHeight="1">
      <c r="B130" s="263">
        <v>879</v>
      </c>
      <c r="C130" s="263" t="s">
        <v>1350</v>
      </c>
      <c r="D130" s="263">
        <v>2</v>
      </c>
      <c r="E130" s="171">
        <v>44935</v>
      </c>
      <c r="F130" s="225" t="s">
        <v>1140</v>
      </c>
      <c r="G130" s="253">
        <v>9466880</v>
      </c>
      <c r="H130" s="263"/>
      <c r="I130" s="263" t="s">
        <v>1231</v>
      </c>
    </row>
    <row r="131" spans="2:9" ht="15.75" customHeight="1">
      <c r="B131" s="263">
        <v>880</v>
      </c>
      <c r="C131" s="263" t="s">
        <v>1351</v>
      </c>
      <c r="D131" s="263">
        <v>2</v>
      </c>
      <c r="E131" s="171">
        <v>43696</v>
      </c>
      <c r="F131" s="225" t="s">
        <v>1140</v>
      </c>
      <c r="G131" s="253">
        <v>7588390</v>
      </c>
      <c r="H131" s="263"/>
      <c r="I131" s="263" t="s">
        <v>1231</v>
      </c>
    </row>
    <row r="132" spans="2:9" ht="15.75" customHeight="1">
      <c r="B132" s="263">
        <v>881</v>
      </c>
      <c r="C132" s="263" t="s">
        <v>1352</v>
      </c>
      <c r="D132" s="263">
        <v>2</v>
      </c>
      <c r="E132" s="171">
        <v>44163</v>
      </c>
      <c r="F132" s="225" t="s">
        <v>1140</v>
      </c>
      <c r="G132" s="253">
        <v>3520540</v>
      </c>
      <c r="H132" s="263"/>
      <c r="I132" s="263" t="s">
        <v>1231</v>
      </c>
    </row>
    <row r="133" spans="2:9" ht="15.75" customHeight="1">
      <c r="B133" s="263">
        <v>882</v>
      </c>
      <c r="C133" s="263" t="s">
        <v>1353</v>
      </c>
      <c r="D133" s="263">
        <v>2</v>
      </c>
      <c r="E133" s="171">
        <v>44417</v>
      </c>
      <c r="F133" s="225" t="s">
        <v>1140</v>
      </c>
      <c r="G133" s="253">
        <v>9417070</v>
      </c>
      <c r="H133" s="263"/>
      <c r="I133" s="263" t="s">
        <v>1231</v>
      </c>
    </row>
    <row r="134" spans="2:9" ht="15.75" customHeight="1">
      <c r="B134" s="263">
        <v>883</v>
      </c>
      <c r="C134" s="263" t="s">
        <v>1354</v>
      </c>
      <c r="D134" s="263">
        <v>2</v>
      </c>
      <c r="E134" s="171">
        <v>44036</v>
      </c>
      <c r="F134" s="225" t="s">
        <v>1140</v>
      </c>
      <c r="G134" s="253">
        <v>16923490</v>
      </c>
      <c r="H134" s="263"/>
      <c r="I134" s="263" t="s">
        <v>1231</v>
      </c>
    </row>
    <row r="135" spans="2:9" ht="15.75" customHeight="1">
      <c r="B135" s="263">
        <v>884</v>
      </c>
      <c r="C135" s="263" t="s">
        <v>1355</v>
      </c>
      <c r="D135" s="263">
        <v>2</v>
      </c>
      <c r="E135" s="171">
        <v>44158</v>
      </c>
      <c r="F135" s="225" t="s">
        <v>1140</v>
      </c>
      <c r="G135" s="253">
        <v>14171440</v>
      </c>
      <c r="H135" s="263"/>
      <c r="I135" s="263" t="s">
        <v>1231</v>
      </c>
    </row>
    <row r="136" spans="2:9" ht="15.75" customHeight="1">
      <c r="B136" s="263">
        <v>885</v>
      </c>
      <c r="C136" s="263" t="s">
        <v>1356</v>
      </c>
      <c r="D136" s="263">
        <v>2</v>
      </c>
      <c r="E136" s="171">
        <v>44515</v>
      </c>
      <c r="F136" s="225" t="s">
        <v>1140</v>
      </c>
      <c r="G136" s="253">
        <v>12432190</v>
      </c>
      <c r="H136" s="263"/>
      <c r="I136" s="263" t="s">
        <v>1231</v>
      </c>
    </row>
    <row r="137" spans="2:9" ht="15.75" customHeight="1">
      <c r="B137" s="263">
        <v>886</v>
      </c>
      <c r="C137" s="263" t="s">
        <v>1357</v>
      </c>
      <c r="D137" s="263">
        <v>2</v>
      </c>
      <c r="E137" s="171">
        <v>44854</v>
      </c>
      <c r="F137" s="225" t="s">
        <v>1140</v>
      </c>
      <c r="G137" s="253">
        <v>6787710</v>
      </c>
      <c r="H137" s="263"/>
      <c r="I137" s="263" t="s">
        <v>1231</v>
      </c>
    </row>
    <row r="138" spans="2:9" ht="15.75" customHeight="1">
      <c r="B138" s="263">
        <v>887</v>
      </c>
      <c r="C138" s="263" t="s">
        <v>1358</v>
      </c>
      <c r="D138" s="263">
        <v>2</v>
      </c>
      <c r="E138" s="171">
        <v>44200</v>
      </c>
      <c r="F138" s="225" t="s">
        <v>1140</v>
      </c>
      <c r="G138" s="253">
        <v>18690090</v>
      </c>
      <c r="H138" s="263"/>
      <c r="I138" s="263" t="s">
        <v>1231</v>
      </c>
    </row>
    <row r="139" spans="2:9" ht="15.75" customHeight="1">
      <c r="B139" s="263">
        <v>888</v>
      </c>
      <c r="C139" s="263" t="s">
        <v>1359</v>
      </c>
      <c r="D139" s="263">
        <v>2</v>
      </c>
      <c r="E139" s="171">
        <v>44200</v>
      </c>
      <c r="F139" s="225" t="s">
        <v>1140</v>
      </c>
      <c r="G139" s="253">
        <v>13638520</v>
      </c>
      <c r="H139" s="263"/>
      <c r="I139" s="263" t="s">
        <v>1231</v>
      </c>
    </row>
    <row r="140" spans="2:9" ht="15.75" customHeight="1">
      <c r="B140" s="263">
        <v>889</v>
      </c>
      <c r="C140" s="263" t="s">
        <v>1360</v>
      </c>
      <c r="D140" s="263">
        <v>2</v>
      </c>
      <c r="E140" s="171">
        <v>44585</v>
      </c>
      <c r="F140" s="225" t="s">
        <v>1140</v>
      </c>
      <c r="G140" s="253">
        <v>10177200</v>
      </c>
      <c r="H140" s="263"/>
      <c r="I140" s="263" t="s">
        <v>1231</v>
      </c>
    </row>
    <row r="141" spans="2:9" ht="15.75" customHeight="1">
      <c r="B141" s="263">
        <v>890</v>
      </c>
      <c r="C141" s="263" t="s">
        <v>695</v>
      </c>
      <c r="D141" s="263">
        <v>2</v>
      </c>
      <c r="E141" s="171">
        <v>44123</v>
      </c>
      <c r="F141" s="225" t="s">
        <v>1140</v>
      </c>
      <c r="G141" s="253">
        <v>16047620</v>
      </c>
      <c r="H141" s="263"/>
      <c r="I141" s="263" t="s">
        <v>1231</v>
      </c>
    </row>
    <row r="142" spans="2:9" ht="15.75" customHeight="1">
      <c r="B142" s="263">
        <v>891</v>
      </c>
      <c r="C142" s="263" t="s">
        <v>1361</v>
      </c>
      <c r="D142" s="263">
        <v>2</v>
      </c>
      <c r="E142" s="171">
        <v>44277</v>
      </c>
      <c r="F142" s="225" t="s">
        <v>1140</v>
      </c>
      <c r="G142" s="253">
        <v>11778990</v>
      </c>
      <c r="H142" s="263"/>
      <c r="I142" s="263" t="s">
        <v>1231</v>
      </c>
    </row>
    <row r="143" spans="2:9" ht="15.75" customHeight="1">
      <c r="B143" s="263">
        <v>892</v>
      </c>
      <c r="C143" s="263" t="s">
        <v>1362</v>
      </c>
      <c r="D143" s="263">
        <v>2</v>
      </c>
      <c r="E143" s="171">
        <v>45418</v>
      </c>
      <c r="F143" s="225" t="s">
        <v>1140</v>
      </c>
      <c r="G143" s="253">
        <v>2500000</v>
      </c>
      <c r="H143" s="263"/>
      <c r="I143" s="263" t="s">
        <v>1231</v>
      </c>
    </row>
    <row r="144" spans="2:9" ht="15.75" customHeight="1">
      <c r="B144" s="263">
        <v>893</v>
      </c>
      <c r="C144" s="263" t="s">
        <v>1363</v>
      </c>
      <c r="D144" s="263">
        <v>2</v>
      </c>
      <c r="E144" s="171">
        <v>44564</v>
      </c>
      <c r="F144" s="225" t="s">
        <v>1140</v>
      </c>
      <c r="G144" s="253">
        <v>11607840</v>
      </c>
      <c r="H144" s="263"/>
      <c r="I144" s="263" t="s">
        <v>1231</v>
      </c>
    </row>
    <row r="145" spans="2:9" ht="15.75" customHeight="1">
      <c r="B145" s="263">
        <v>894</v>
      </c>
      <c r="C145" s="263" t="s">
        <v>1364</v>
      </c>
      <c r="D145" s="263">
        <v>2</v>
      </c>
      <c r="E145" s="171">
        <v>44116</v>
      </c>
      <c r="F145" s="225" t="s">
        <v>1140</v>
      </c>
      <c r="G145" s="253">
        <v>15110710</v>
      </c>
      <c r="H145" s="263"/>
      <c r="I145" s="263" t="s">
        <v>1231</v>
      </c>
    </row>
    <row r="146" spans="2:9" ht="15.75" customHeight="1">
      <c r="B146" s="263">
        <v>895</v>
      </c>
      <c r="C146" s="263" t="s">
        <v>1365</v>
      </c>
      <c r="D146" s="263">
        <v>2</v>
      </c>
      <c r="E146" s="171">
        <v>44179</v>
      </c>
      <c r="F146" s="225" t="s">
        <v>1140</v>
      </c>
      <c r="G146" s="253">
        <v>12580620</v>
      </c>
      <c r="H146" s="263"/>
      <c r="I146" s="263" t="s">
        <v>1231</v>
      </c>
    </row>
    <row r="147" spans="2:9" ht="15.75" customHeight="1">
      <c r="B147" s="263">
        <v>896</v>
      </c>
      <c r="C147" s="263" t="s">
        <v>1366</v>
      </c>
      <c r="D147" s="263">
        <v>2</v>
      </c>
      <c r="E147" s="171">
        <v>44497</v>
      </c>
      <c r="F147" s="225" t="s">
        <v>1140</v>
      </c>
      <c r="G147" s="253">
        <v>15024410</v>
      </c>
      <c r="H147" s="263"/>
      <c r="I147" s="263" t="s">
        <v>1231</v>
      </c>
    </row>
    <row r="148" spans="2:9" ht="15.75" customHeight="1">
      <c r="B148" s="263">
        <v>897</v>
      </c>
      <c r="C148" s="263" t="s">
        <v>964</v>
      </c>
      <c r="D148" s="263">
        <v>2</v>
      </c>
      <c r="E148" s="171">
        <v>44581</v>
      </c>
      <c r="F148" s="225" t="s">
        <v>1140</v>
      </c>
      <c r="G148" s="253">
        <v>10748670</v>
      </c>
      <c r="H148" s="263"/>
      <c r="I148" s="263" t="s">
        <v>1231</v>
      </c>
    </row>
    <row r="149" spans="2:9" ht="15.75" customHeight="1">
      <c r="B149" s="263">
        <v>898</v>
      </c>
      <c r="C149" s="263" t="s">
        <v>1367</v>
      </c>
      <c r="D149" s="263">
        <v>2</v>
      </c>
      <c r="E149" s="171">
        <v>44998</v>
      </c>
      <c r="F149" s="225" t="s">
        <v>1140</v>
      </c>
      <c r="G149" s="253">
        <v>6913210</v>
      </c>
      <c r="H149" s="263"/>
      <c r="I149" s="263" t="s">
        <v>1231</v>
      </c>
    </row>
    <row r="150" spans="2:9" ht="15.75" customHeight="1">
      <c r="B150" s="263">
        <v>899</v>
      </c>
      <c r="C150" s="263" t="s">
        <v>1368</v>
      </c>
      <c r="D150" s="263">
        <v>1</v>
      </c>
      <c r="E150" s="171">
        <v>43787</v>
      </c>
      <c r="F150" s="225" t="s">
        <v>1140</v>
      </c>
      <c r="G150" s="253">
        <v>19430300</v>
      </c>
      <c r="H150" s="263"/>
      <c r="I150" s="263" t="s">
        <v>1231</v>
      </c>
    </row>
    <row r="151" spans="2:9" ht="15.75" customHeight="1">
      <c r="B151" s="263">
        <v>900</v>
      </c>
      <c r="C151" s="263" t="s">
        <v>1369</v>
      </c>
      <c r="D151" s="263">
        <v>2</v>
      </c>
      <c r="E151" s="171">
        <v>44571</v>
      </c>
      <c r="F151" s="225" t="s">
        <v>1140</v>
      </c>
      <c r="G151" s="253">
        <v>11897910</v>
      </c>
      <c r="H151" s="263"/>
      <c r="I151" s="263" t="s">
        <v>1231</v>
      </c>
    </row>
    <row r="152" spans="2:9" ht="15.75" customHeight="1">
      <c r="B152" s="263">
        <v>901</v>
      </c>
      <c r="C152" s="263" t="s">
        <v>1370</v>
      </c>
      <c r="D152" s="263">
        <v>2</v>
      </c>
      <c r="E152" s="171">
        <v>44811</v>
      </c>
      <c r="F152" s="225" t="s">
        <v>1140</v>
      </c>
      <c r="G152" s="253">
        <v>7219270</v>
      </c>
      <c r="H152" s="263"/>
      <c r="I152" s="263" t="s">
        <v>1231</v>
      </c>
    </row>
    <row r="153" spans="2:9" ht="15.75" customHeight="1">
      <c r="B153" s="263">
        <v>902</v>
      </c>
      <c r="C153" s="263" t="s">
        <v>1371</v>
      </c>
      <c r="D153" s="263">
        <v>2</v>
      </c>
      <c r="E153" s="171">
        <v>44502</v>
      </c>
      <c r="F153" s="225" t="s">
        <v>1140</v>
      </c>
      <c r="G153" s="253">
        <v>10366960</v>
      </c>
      <c r="H153" s="263"/>
      <c r="I153" s="263" t="s">
        <v>1231</v>
      </c>
    </row>
    <row r="154" spans="2:9" ht="15.75" customHeight="1">
      <c r="B154" s="263">
        <v>903</v>
      </c>
      <c r="C154" s="263" t="s">
        <v>1372</v>
      </c>
      <c r="D154" s="263">
        <v>2</v>
      </c>
      <c r="E154" s="171">
        <v>44531</v>
      </c>
      <c r="F154" s="225" t="s">
        <v>1140</v>
      </c>
      <c r="G154" s="253">
        <v>9412650</v>
      </c>
      <c r="H154" s="263"/>
      <c r="I154" s="263" t="s">
        <v>1231</v>
      </c>
    </row>
    <row r="155" spans="2:9" ht="15.75" customHeight="1">
      <c r="B155" s="263">
        <v>904</v>
      </c>
      <c r="C155" s="263" t="s">
        <v>1373</v>
      </c>
      <c r="D155" s="263">
        <v>2</v>
      </c>
      <c r="E155" s="171">
        <v>44151</v>
      </c>
      <c r="F155" s="225" t="s">
        <v>1140</v>
      </c>
      <c r="G155" s="253">
        <v>12809650</v>
      </c>
      <c r="H155" s="263"/>
      <c r="I155" s="263" t="s">
        <v>1231</v>
      </c>
    </row>
    <row r="156" spans="2:9" ht="15.75" customHeight="1">
      <c r="B156" s="263">
        <v>905</v>
      </c>
      <c r="C156" s="263" t="s">
        <v>1374</v>
      </c>
      <c r="D156" s="263">
        <v>1</v>
      </c>
      <c r="E156" s="171">
        <v>45203</v>
      </c>
      <c r="F156" s="225" t="s">
        <v>1140</v>
      </c>
      <c r="G156" s="253">
        <v>3780930</v>
      </c>
      <c r="H156" s="263"/>
      <c r="I156" s="263" t="s">
        <v>1231</v>
      </c>
    </row>
    <row r="157" spans="2:9" ht="15.75" customHeight="1">
      <c r="B157" s="263">
        <v>906</v>
      </c>
      <c r="C157" s="263" t="s">
        <v>1375</v>
      </c>
      <c r="D157" s="263">
        <v>1</v>
      </c>
      <c r="E157" s="171">
        <v>44832</v>
      </c>
      <c r="F157" s="225" t="s">
        <v>1140</v>
      </c>
      <c r="G157" s="253">
        <v>9506600</v>
      </c>
      <c r="H157" s="263"/>
      <c r="I157" s="263" t="s">
        <v>1231</v>
      </c>
    </row>
    <row r="158" spans="2:9" ht="15.75" customHeight="1">
      <c r="B158" s="263">
        <v>907</v>
      </c>
      <c r="C158" s="263" t="s">
        <v>1376</v>
      </c>
      <c r="D158" s="263">
        <v>2</v>
      </c>
      <c r="E158" s="171">
        <v>44179</v>
      </c>
      <c r="F158" s="225" t="s">
        <v>1140</v>
      </c>
      <c r="G158" s="253">
        <v>12896420</v>
      </c>
      <c r="H158" s="263"/>
      <c r="I158" s="263" t="s">
        <v>1231</v>
      </c>
    </row>
    <row r="159" spans="2:9" ht="15.75" customHeight="1">
      <c r="B159" s="263">
        <v>908</v>
      </c>
      <c r="C159" s="263" t="s">
        <v>1377</v>
      </c>
      <c r="D159" s="263">
        <v>2</v>
      </c>
      <c r="E159" s="171">
        <v>44645</v>
      </c>
      <c r="F159" s="225" t="s">
        <v>1140</v>
      </c>
      <c r="G159" s="253">
        <v>8394620</v>
      </c>
      <c r="H159" s="263"/>
      <c r="I159" s="263" t="s">
        <v>1231</v>
      </c>
    </row>
    <row r="160" spans="2:9" ht="15.75" customHeight="1">
      <c r="B160" s="263">
        <v>909</v>
      </c>
      <c r="C160" s="263" t="s">
        <v>1378</v>
      </c>
      <c r="D160" s="263">
        <v>1</v>
      </c>
      <c r="E160" s="171">
        <v>44004</v>
      </c>
      <c r="F160" s="225" t="s">
        <v>1140</v>
      </c>
      <c r="G160" s="253">
        <v>18741540</v>
      </c>
      <c r="H160" s="263"/>
      <c r="I160" s="263" t="s">
        <v>1231</v>
      </c>
    </row>
    <row r="161" spans="2:9" ht="15.75" customHeight="1">
      <c r="B161" s="263">
        <v>910</v>
      </c>
      <c r="C161" s="263" t="s">
        <v>1379</v>
      </c>
      <c r="D161" s="263">
        <v>1</v>
      </c>
      <c r="E161" s="171">
        <v>44221</v>
      </c>
      <c r="F161" s="225" t="s">
        <v>1140</v>
      </c>
      <c r="G161" s="253">
        <v>16124160</v>
      </c>
      <c r="H161" s="263"/>
      <c r="I161" s="263" t="s">
        <v>1231</v>
      </c>
    </row>
    <row r="162" spans="2:9" ht="15.75" customHeight="1">
      <c r="B162" s="263">
        <v>911</v>
      </c>
      <c r="C162" s="263" t="s">
        <v>1380</v>
      </c>
      <c r="D162" s="263">
        <v>1</v>
      </c>
      <c r="E162" s="171">
        <v>43864</v>
      </c>
      <c r="F162" s="225" t="s">
        <v>1140</v>
      </c>
      <c r="G162" s="253">
        <v>26846710</v>
      </c>
      <c r="H162" s="263"/>
      <c r="I162" s="263" t="s">
        <v>1231</v>
      </c>
    </row>
    <row r="163" spans="2:9" ht="15.75" customHeight="1">
      <c r="B163" s="263">
        <v>912</v>
      </c>
      <c r="C163" s="263" t="s">
        <v>1381</v>
      </c>
      <c r="D163" s="263">
        <v>2</v>
      </c>
      <c r="E163" s="171">
        <v>45646</v>
      </c>
      <c r="F163" s="225" t="s">
        <v>1140</v>
      </c>
      <c r="G163" s="253">
        <v>2400000</v>
      </c>
      <c r="H163" s="263"/>
      <c r="I163" s="263" t="s">
        <v>1231</v>
      </c>
    </row>
    <row r="164" spans="2:9" ht="15.75" customHeight="1">
      <c r="B164" s="263">
        <v>913</v>
      </c>
      <c r="C164" s="263" t="s">
        <v>783</v>
      </c>
      <c r="D164" s="263">
        <v>2</v>
      </c>
      <c r="E164" s="171">
        <v>42669</v>
      </c>
      <c r="F164" s="225" t="s">
        <v>1143</v>
      </c>
      <c r="G164" s="253">
        <v>30811000</v>
      </c>
      <c r="H164" s="263"/>
      <c r="I164" s="263" t="s">
        <v>1231</v>
      </c>
    </row>
    <row r="165" spans="2:9" ht="15.75" customHeight="1">
      <c r="B165" s="263">
        <v>914</v>
      </c>
      <c r="C165" s="263" t="s">
        <v>1382</v>
      </c>
      <c r="D165" s="263">
        <v>1</v>
      </c>
      <c r="E165" s="171">
        <v>44753</v>
      </c>
      <c r="F165" s="225" t="s">
        <v>1148</v>
      </c>
      <c r="G165" s="253">
        <v>14717200</v>
      </c>
      <c r="H165" s="263"/>
      <c r="I165" s="263" t="s">
        <v>1231</v>
      </c>
    </row>
    <row r="166" spans="2:9" ht="15.75" customHeight="1">
      <c r="B166" s="263">
        <v>915</v>
      </c>
      <c r="C166" s="263" t="s">
        <v>1383</v>
      </c>
      <c r="D166" s="263">
        <v>1</v>
      </c>
      <c r="E166" s="171">
        <v>44697</v>
      </c>
      <c r="F166" s="225" t="s">
        <v>1149</v>
      </c>
      <c r="G166" s="253">
        <v>11414920</v>
      </c>
      <c r="H166" s="263"/>
      <c r="I166" s="263" t="s">
        <v>1231</v>
      </c>
    </row>
    <row r="167" spans="2:9" ht="15.75" customHeight="1">
      <c r="B167" s="263">
        <v>916</v>
      </c>
      <c r="C167" s="263" t="s">
        <v>1384</v>
      </c>
      <c r="D167" s="263">
        <v>1</v>
      </c>
      <c r="E167" s="171">
        <v>44368</v>
      </c>
      <c r="F167" s="225" t="s">
        <v>1150</v>
      </c>
      <c r="G167" s="253">
        <v>14866030</v>
      </c>
      <c r="H167" s="263"/>
      <c r="I167" s="263" t="s">
        <v>1231</v>
      </c>
    </row>
    <row r="168" spans="2:9" ht="15.75" customHeight="1">
      <c r="B168" s="263">
        <v>917</v>
      </c>
      <c r="C168" s="263" t="s">
        <v>1385</v>
      </c>
      <c r="D168" s="263">
        <v>1</v>
      </c>
      <c r="E168" s="171">
        <v>44193</v>
      </c>
      <c r="F168" s="225" t="s">
        <v>1151</v>
      </c>
      <c r="G168" s="253">
        <v>15813210</v>
      </c>
      <c r="H168" s="263"/>
      <c r="I168" s="263" t="s">
        <v>1231</v>
      </c>
    </row>
    <row r="169" spans="2:9" ht="15.75" customHeight="1">
      <c r="B169" s="263">
        <v>918</v>
      </c>
      <c r="C169" s="263" t="s">
        <v>1386</v>
      </c>
      <c r="D169" s="263">
        <v>1</v>
      </c>
      <c r="E169" s="171">
        <v>43619</v>
      </c>
      <c r="F169" s="225" t="s">
        <v>1152</v>
      </c>
      <c r="G169" s="253">
        <v>21449460</v>
      </c>
      <c r="H169" s="263"/>
      <c r="I169" s="263" t="s">
        <v>1231</v>
      </c>
    </row>
    <row r="170" spans="2:9" ht="15.75" customHeight="1">
      <c r="B170" s="263">
        <v>919</v>
      </c>
      <c r="C170" s="263" t="s">
        <v>1387</v>
      </c>
      <c r="D170" s="263">
        <v>1</v>
      </c>
      <c r="E170" s="171">
        <v>44935</v>
      </c>
      <c r="F170" s="225" t="s">
        <v>1152</v>
      </c>
      <c r="G170" s="253">
        <v>18845130</v>
      </c>
      <c r="H170" s="263"/>
      <c r="I170" s="263" t="s">
        <v>1231</v>
      </c>
    </row>
    <row r="171" spans="2:9" ht="15.75" customHeight="1">
      <c r="B171" s="263">
        <v>920</v>
      </c>
      <c r="C171" s="263" t="s">
        <v>1388</v>
      </c>
      <c r="D171" s="263">
        <v>1</v>
      </c>
      <c r="E171" s="171">
        <v>44515</v>
      </c>
      <c r="F171" s="225" t="s">
        <v>1153</v>
      </c>
      <c r="G171" s="253">
        <v>14495710</v>
      </c>
      <c r="H171" s="263"/>
      <c r="I171" s="263" t="s">
        <v>1231</v>
      </c>
    </row>
    <row r="172" spans="2:9" ht="15.75" customHeight="1">
      <c r="B172" s="263">
        <v>921</v>
      </c>
      <c r="C172" s="263" t="s">
        <v>1027</v>
      </c>
      <c r="D172" s="263">
        <v>2</v>
      </c>
      <c r="E172" s="171">
        <v>44993</v>
      </c>
      <c r="F172" s="225" t="s">
        <v>1153</v>
      </c>
      <c r="G172" s="253">
        <v>803280</v>
      </c>
      <c r="H172" s="263"/>
      <c r="I172" s="263" t="s">
        <v>1231</v>
      </c>
    </row>
    <row r="173" spans="2:9" ht="15.75" customHeight="1">
      <c r="B173" s="263">
        <v>922</v>
      </c>
      <c r="C173" s="263" t="s">
        <v>1389</v>
      </c>
      <c r="D173" s="263">
        <v>2</v>
      </c>
      <c r="E173" s="171">
        <v>44353</v>
      </c>
      <c r="F173" s="225" t="s">
        <v>1153</v>
      </c>
      <c r="G173" s="253">
        <v>11438220</v>
      </c>
      <c r="H173" s="263"/>
      <c r="I173" s="263" t="s">
        <v>1231</v>
      </c>
    </row>
    <row r="174" spans="2:9" ht="15.75" customHeight="1">
      <c r="B174" s="263">
        <v>923</v>
      </c>
      <c r="C174" s="263" t="s">
        <v>1390</v>
      </c>
      <c r="D174" s="263">
        <v>2</v>
      </c>
      <c r="E174" s="171">
        <v>44684</v>
      </c>
      <c r="F174" s="225" t="s">
        <v>1140</v>
      </c>
      <c r="G174" s="253">
        <v>11049790</v>
      </c>
      <c r="H174" s="263"/>
      <c r="I174" s="263" t="s">
        <v>1231</v>
      </c>
    </row>
    <row r="175" spans="2:9" ht="15.75" customHeight="1">
      <c r="B175" s="263">
        <v>924</v>
      </c>
      <c r="C175" s="263" t="s">
        <v>1391</v>
      </c>
      <c r="D175" s="263">
        <v>2</v>
      </c>
      <c r="E175" s="171">
        <v>44621</v>
      </c>
      <c r="F175" s="225" t="s">
        <v>1154</v>
      </c>
      <c r="G175" s="253">
        <v>11728720</v>
      </c>
      <c r="H175" s="263"/>
      <c r="I175" s="263" t="s">
        <v>1231</v>
      </c>
    </row>
    <row r="176" spans="2:9" ht="15.75" customHeight="1">
      <c r="B176" s="263">
        <v>925</v>
      </c>
      <c r="C176" s="263" t="s">
        <v>1392</v>
      </c>
      <c r="D176" s="263">
        <v>1</v>
      </c>
      <c r="E176" s="171">
        <v>40547</v>
      </c>
      <c r="F176" s="225" t="s">
        <v>1155</v>
      </c>
      <c r="G176" s="253">
        <v>116588100</v>
      </c>
      <c r="H176" s="263"/>
      <c r="I176" s="263" t="s">
        <v>1231</v>
      </c>
    </row>
    <row r="177" spans="2:9" ht="15.75" customHeight="1">
      <c r="B177" s="263">
        <v>926</v>
      </c>
      <c r="C177" s="263" t="s">
        <v>1393</v>
      </c>
      <c r="D177" s="263">
        <v>1</v>
      </c>
      <c r="E177" s="171">
        <v>39449</v>
      </c>
      <c r="F177" s="225" t="s">
        <v>1156</v>
      </c>
      <c r="G177" s="253">
        <v>173912730</v>
      </c>
      <c r="H177" s="263"/>
      <c r="I177" s="263" t="s">
        <v>1231</v>
      </c>
    </row>
    <row r="178" spans="2:9" ht="15.75" customHeight="1">
      <c r="B178" s="263">
        <v>927</v>
      </c>
      <c r="C178" s="263" t="s">
        <v>1394</v>
      </c>
      <c r="D178" s="263">
        <v>1</v>
      </c>
      <c r="E178" s="171">
        <v>44425</v>
      </c>
      <c r="F178" s="225" t="s">
        <v>1157</v>
      </c>
      <c r="G178" s="253">
        <v>24546610</v>
      </c>
      <c r="H178" s="263"/>
      <c r="I178" s="263" t="s">
        <v>1231</v>
      </c>
    </row>
    <row r="179" spans="2:9" ht="15.75" customHeight="1">
      <c r="B179" s="263">
        <v>928</v>
      </c>
      <c r="C179" s="263" t="s">
        <v>1395</v>
      </c>
      <c r="D179" s="263">
        <v>2</v>
      </c>
      <c r="E179" s="171">
        <v>44789</v>
      </c>
      <c r="F179" s="225" t="s">
        <v>1157</v>
      </c>
      <c r="G179" s="253">
        <v>19322060</v>
      </c>
      <c r="H179" s="263"/>
      <c r="I179" s="263" t="s">
        <v>1231</v>
      </c>
    </row>
    <row r="180" spans="2:9" ht="15.75" customHeight="1">
      <c r="B180" s="263">
        <v>929</v>
      </c>
      <c r="C180" s="263" t="s">
        <v>1396</v>
      </c>
      <c r="D180" s="263">
        <v>2</v>
      </c>
      <c r="E180" s="171">
        <v>45327</v>
      </c>
      <c r="F180" s="225" t="s">
        <v>1157</v>
      </c>
      <c r="G180" s="253">
        <v>4903340</v>
      </c>
      <c r="H180" s="263"/>
      <c r="I180" s="263" t="s">
        <v>1231</v>
      </c>
    </row>
    <row r="181" spans="2:9" ht="15.75" customHeight="1">
      <c r="B181" s="263">
        <v>930</v>
      </c>
      <c r="C181" s="263" t="s">
        <v>1397</v>
      </c>
      <c r="D181" s="263">
        <v>1</v>
      </c>
      <c r="E181" s="171">
        <v>43976</v>
      </c>
      <c r="F181" s="225" t="s">
        <v>1158</v>
      </c>
      <c r="G181" s="253">
        <v>17502230</v>
      </c>
      <c r="H181" s="263"/>
      <c r="I181" s="263" t="s">
        <v>1231</v>
      </c>
    </row>
    <row r="182" spans="2:9" ht="15.75" customHeight="1">
      <c r="B182" s="263">
        <v>931</v>
      </c>
      <c r="C182" s="263" t="s">
        <v>1398</v>
      </c>
      <c r="D182" s="263">
        <v>1</v>
      </c>
      <c r="E182" s="171">
        <v>44403</v>
      </c>
      <c r="F182" s="225" t="s">
        <v>1159</v>
      </c>
      <c r="G182" s="253">
        <v>12463040</v>
      </c>
      <c r="H182" s="263"/>
      <c r="I182" s="263" t="s">
        <v>1231</v>
      </c>
    </row>
    <row r="183" spans="2:9" ht="15.75" customHeight="1">
      <c r="B183" s="263">
        <v>932</v>
      </c>
      <c r="C183" s="263" t="s">
        <v>1399</v>
      </c>
      <c r="D183" s="263">
        <v>2</v>
      </c>
      <c r="E183" s="171">
        <v>44550</v>
      </c>
      <c r="F183" s="225" t="s">
        <v>1155</v>
      </c>
      <c r="G183" s="253">
        <v>14205300</v>
      </c>
      <c r="H183" s="263"/>
      <c r="I183" s="263" t="s">
        <v>1231</v>
      </c>
    </row>
    <row r="184" spans="2:9" ht="15.75" customHeight="1">
      <c r="B184" s="263">
        <v>933</v>
      </c>
      <c r="C184" s="263" t="s">
        <v>1400</v>
      </c>
      <c r="D184" s="263">
        <v>2</v>
      </c>
      <c r="E184" s="171">
        <v>44566</v>
      </c>
      <c r="F184" s="225" t="s">
        <v>1155</v>
      </c>
      <c r="G184" s="253">
        <v>12100930</v>
      </c>
      <c r="H184" s="263"/>
      <c r="I184" s="263" t="s">
        <v>1231</v>
      </c>
    </row>
    <row r="185" spans="2:9" ht="15.75" customHeight="1">
      <c r="B185" s="263">
        <v>934</v>
      </c>
      <c r="C185" s="263" t="s">
        <v>1401</v>
      </c>
      <c r="D185" s="263">
        <v>2</v>
      </c>
      <c r="E185" s="171">
        <v>44817</v>
      </c>
      <c r="F185" s="225" t="s">
        <v>1155</v>
      </c>
      <c r="G185" s="253">
        <v>7533240</v>
      </c>
      <c r="H185" s="263"/>
      <c r="I185" s="263" t="s">
        <v>1231</v>
      </c>
    </row>
    <row r="186" spans="2:9" ht="15.75" customHeight="1">
      <c r="B186" s="263">
        <v>935</v>
      </c>
      <c r="C186" s="263" t="s">
        <v>1402</v>
      </c>
      <c r="D186" s="263">
        <v>2</v>
      </c>
      <c r="E186" s="171">
        <v>44887</v>
      </c>
      <c r="F186" s="225" t="s">
        <v>1155</v>
      </c>
      <c r="G186" s="253">
        <v>7202720</v>
      </c>
      <c r="H186" s="263"/>
      <c r="I186" s="263" t="s">
        <v>1231</v>
      </c>
    </row>
    <row r="187" spans="2:9" ht="15.75" customHeight="1">
      <c r="B187" s="263">
        <v>936</v>
      </c>
      <c r="C187" s="263" t="s">
        <v>1403</v>
      </c>
      <c r="D187" s="263">
        <v>1</v>
      </c>
      <c r="E187" s="171">
        <v>45247</v>
      </c>
      <c r="F187" s="225" t="s">
        <v>1155</v>
      </c>
      <c r="G187" s="253">
        <v>4053870</v>
      </c>
      <c r="H187" s="263"/>
      <c r="I187" s="263" t="s">
        <v>1231</v>
      </c>
    </row>
    <row r="188" spans="2:9" ht="15.75" customHeight="1">
      <c r="B188" s="263">
        <v>937</v>
      </c>
      <c r="C188" s="263" t="s">
        <v>1354</v>
      </c>
      <c r="D188" s="263">
        <v>2</v>
      </c>
      <c r="E188" s="171">
        <v>45383</v>
      </c>
      <c r="F188" s="225" t="s">
        <v>1155</v>
      </c>
      <c r="G188" s="253">
        <v>4038570</v>
      </c>
      <c r="H188" s="263"/>
      <c r="I188" s="263" t="s">
        <v>1231</v>
      </c>
    </row>
    <row r="189" spans="2:9" ht="15.75" customHeight="1">
      <c r="B189" s="263">
        <v>938</v>
      </c>
      <c r="C189" s="263" t="s">
        <v>1404</v>
      </c>
      <c r="D189" s="263">
        <v>2</v>
      </c>
      <c r="E189" s="171">
        <v>44179</v>
      </c>
      <c r="F189" s="225" t="s">
        <v>1155</v>
      </c>
      <c r="G189" s="253">
        <v>14808680</v>
      </c>
      <c r="H189" s="263"/>
      <c r="I189" s="263" t="s">
        <v>1231</v>
      </c>
    </row>
    <row r="190" spans="2:9" ht="15.75" customHeight="1">
      <c r="B190" s="263">
        <v>939</v>
      </c>
      <c r="C190" s="263" t="s">
        <v>1405</v>
      </c>
      <c r="D190" s="263">
        <v>2</v>
      </c>
      <c r="E190" s="171">
        <v>44501</v>
      </c>
      <c r="F190" s="225" t="s">
        <v>1155</v>
      </c>
      <c r="G190" s="253">
        <v>13094440</v>
      </c>
      <c r="H190" s="263"/>
      <c r="I190" s="263" t="s">
        <v>1231</v>
      </c>
    </row>
    <row r="191" spans="2:9" ht="15.75" customHeight="1">
      <c r="B191" s="263">
        <v>940</v>
      </c>
      <c r="C191" s="263" t="s">
        <v>1406</v>
      </c>
      <c r="D191" s="263">
        <v>2</v>
      </c>
      <c r="E191" s="171">
        <v>44179</v>
      </c>
      <c r="F191" s="225" t="s">
        <v>1155</v>
      </c>
      <c r="G191" s="253">
        <v>12807370</v>
      </c>
      <c r="H191" s="263"/>
      <c r="I191" s="263" t="s">
        <v>1231</v>
      </c>
    </row>
    <row r="192" spans="2:9" ht="15.75" customHeight="1">
      <c r="B192" s="263">
        <v>941</v>
      </c>
      <c r="C192" s="263" t="s">
        <v>1407</v>
      </c>
      <c r="D192" s="263">
        <v>2</v>
      </c>
      <c r="E192" s="171">
        <v>44600</v>
      </c>
      <c r="F192" s="225" t="s">
        <v>1155</v>
      </c>
      <c r="G192" s="253">
        <v>10473990</v>
      </c>
      <c r="H192" s="263"/>
      <c r="I192" s="263" t="s">
        <v>1231</v>
      </c>
    </row>
    <row r="193" spans="2:9" ht="15.75" customHeight="1">
      <c r="B193" s="263">
        <v>942</v>
      </c>
      <c r="C193" s="263" t="s">
        <v>1408</v>
      </c>
      <c r="D193" s="263">
        <v>2</v>
      </c>
      <c r="E193" s="171">
        <v>44491</v>
      </c>
      <c r="F193" s="225" t="s">
        <v>1155</v>
      </c>
      <c r="G193" s="253">
        <v>10331310</v>
      </c>
      <c r="H193" s="263"/>
      <c r="I193" s="263" t="s">
        <v>1231</v>
      </c>
    </row>
    <row r="194" spans="2:9" ht="15.75" customHeight="1">
      <c r="B194" s="263">
        <v>943</v>
      </c>
      <c r="C194" s="263" t="s">
        <v>1409</v>
      </c>
      <c r="D194" s="263">
        <v>2</v>
      </c>
      <c r="E194" s="171">
        <v>44137</v>
      </c>
      <c r="F194" s="225" t="s">
        <v>1155</v>
      </c>
      <c r="G194" s="253">
        <v>19418760</v>
      </c>
      <c r="H194" s="263"/>
      <c r="I194" s="263" t="s">
        <v>1231</v>
      </c>
    </row>
    <row r="195" spans="2:9" ht="15.75" customHeight="1">
      <c r="B195" s="263">
        <v>944</v>
      </c>
      <c r="C195" s="263" t="s">
        <v>1410</v>
      </c>
      <c r="D195" s="263">
        <v>2</v>
      </c>
      <c r="E195" s="171">
        <v>44807</v>
      </c>
      <c r="F195" s="225" t="s">
        <v>1155</v>
      </c>
      <c r="G195" s="253">
        <v>9505150</v>
      </c>
      <c r="H195" s="263"/>
      <c r="I195" s="263" t="s">
        <v>1231</v>
      </c>
    </row>
    <row r="196" spans="2:9" ht="15.75" customHeight="1">
      <c r="B196" s="263">
        <v>945</v>
      </c>
      <c r="C196" s="263" t="s">
        <v>1411</v>
      </c>
      <c r="D196" s="263">
        <v>2</v>
      </c>
      <c r="E196" s="171">
        <v>45514</v>
      </c>
      <c r="F196" s="225" t="s">
        <v>1155</v>
      </c>
      <c r="G196" s="253">
        <v>2500000</v>
      </c>
      <c r="H196" s="263"/>
      <c r="I196" s="263" t="s">
        <v>1231</v>
      </c>
    </row>
    <row r="197" spans="2:9" ht="15.75" customHeight="1">
      <c r="B197" s="263">
        <v>946</v>
      </c>
      <c r="C197" s="263" t="s">
        <v>1412</v>
      </c>
      <c r="D197" s="263">
        <v>2</v>
      </c>
      <c r="E197" s="171">
        <v>45335</v>
      </c>
      <c r="F197" s="225" t="s">
        <v>1155</v>
      </c>
      <c r="G197" s="253">
        <v>3570810</v>
      </c>
      <c r="H197" s="263"/>
      <c r="I197" s="263" t="s">
        <v>1231</v>
      </c>
    </row>
    <row r="198" spans="2:9" ht="15.75" customHeight="1">
      <c r="B198" s="263">
        <v>947</v>
      </c>
      <c r="C198" s="263" t="s">
        <v>1413</v>
      </c>
      <c r="D198" s="263">
        <v>2</v>
      </c>
      <c r="E198" s="171">
        <v>45383</v>
      </c>
      <c r="F198" s="225" t="s">
        <v>1155</v>
      </c>
      <c r="G198" s="253">
        <v>2641150</v>
      </c>
      <c r="H198" s="263"/>
      <c r="I198" s="263" t="s">
        <v>1231</v>
      </c>
    </row>
    <row r="199" spans="2:9" ht="15.75" customHeight="1">
      <c r="B199" s="263">
        <v>948</v>
      </c>
      <c r="C199" s="263" t="s">
        <v>1414</v>
      </c>
      <c r="D199" s="263">
        <v>2</v>
      </c>
      <c r="E199" s="171">
        <v>43696</v>
      </c>
      <c r="F199" s="225" t="s">
        <v>1155</v>
      </c>
      <c r="G199" s="253">
        <v>23240850</v>
      </c>
      <c r="H199" s="263"/>
      <c r="I199" s="263" t="s">
        <v>1231</v>
      </c>
    </row>
    <row r="200" spans="2:9" ht="15.75" customHeight="1">
      <c r="B200" s="263">
        <v>949</v>
      </c>
      <c r="C200" s="263" t="s">
        <v>1415</v>
      </c>
      <c r="D200" s="263">
        <v>2</v>
      </c>
      <c r="E200" s="171">
        <v>44384</v>
      </c>
      <c r="F200" s="225" t="s">
        <v>1155</v>
      </c>
      <c r="G200" s="253">
        <v>12169940</v>
      </c>
      <c r="H200" s="263"/>
      <c r="I200" s="263" t="s">
        <v>1231</v>
      </c>
    </row>
    <row r="201" spans="2:9" ht="15.75" customHeight="1">
      <c r="B201" s="263">
        <v>950</v>
      </c>
      <c r="C201" s="263" t="s">
        <v>1416</v>
      </c>
      <c r="D201" s="263">
        <v>2</v>
      </c>
      <c r="E201" s="171">
        <v>45189</v>
      </c>
      <c r="F201" s="225" t="s">
        <v>1155</v>
      </c>
      <c r="G201" s="253">
        <v>6620810</v>
      </c>
      <c r="H201" s="263"/>
      <c r="I201" s="263" t="s">
        <v>1231</v>
      </c>
    </row>
    <row r="202" spans="2:9" ht="15.75" customHeight="1">
      <c r="B202" s="263">
        <v>951</v>
      </c>
      <c r="C202" s="263" t="s">
        <v>1417</v>
      </c>
      <c r="D202" s="263">
        <v>2</v>
      </c>
      <c r="E202" s="171">
        <v>43809</v>
      </c>
      <c r="F202" s="225" t="s">
        <v>1155</v>
      </c>
      <c r="G202" s="253">
        <v>18910880</v>
      </c>
      <c r="H202" s="263"/>
      <c r="I202" s="263" t="s">
        <v>1231</v>
      </c>
    </row>
    <row r="203" spans="2:9" ht="15.75" customHeight="1">
      <c r="B203" s="263">
        <v>952</v>
      </c>
      <c r="C203" s="263" t="s">
        <v>1418</v>
      </c>
      <c r="D203" s="263">
        <v>2</v>
      </c>
      <c r="E203" s="171">
        <v>44445</v>
      </c>
      <c r="F203" s="225" t="s">
        <v>1155</v>
      </c>
      <c r="G203" s="253">
        <v>13885490</v>
      </c>
      <c r="H203" s="263"/>
      <c r="I203" s="263" t="s">
        <v>1231</v>
      </c>
    </row>
    <row r="204" spans="2:9" ht="15.75" customHeight="1">
      <c r="B204" s="263">
        <v>953</v>
      </c>
      <c r="C204" s="263" t="s">
        <v>1419</v>
      </c>
      <c r="D204" s="263">
        <v>2</v>
      </c>
      <c r="E204" s="171">
        <v>44977</v>
      </c>
      <c r="F204" s="225" t="s">
        <v>1155</v>
      </c>
      <c r="G204" s="253">
        <v>6733240</v>
      </c>
      <c r="H204" s="263"/>
      <c r="I204" s="263" t="s">
        <v>1231</v>
      </c>
    </row>
    <row r="205" spans="2:9" ht="15.75" customHeight="1">
      <c r="B205" s="263">
        <v>954</v>
      </c>
      <c r="C205" s="263" t="s">
        <v>1420</v>
      </c>
      <c r="D205" s="263">
        <v>2</v>
      </c>
      <c r="E205" s="171">
        <v>45320</v>
      </c>
      <c r="F205" s="225" t="s">
        <v>1155</v>
      </c>
      <c r="G205" s="253">
        <v>5442310</v>
      </c>
      <c r="H205" s="263"/>
      <c r="I205" s="263" t="s">
        <v>1231</v>
      </c>
    </row>
    <row r="206" spans="2:9" ht="15.75" customHeight="1">
      <c r="B206" s="263">
        <v>955</v>
      </c>
      <c r="C206" s="263" t="s">
        <v>1421</v>
      </c>
      <c r="D206" s="263">
        <v>2</v>
      </c>
      <c r="E206" s="171">
        <v>44179</v>
      </c>
      <c r="F206" s="225" t="s">
        <v>1155</v>
      </c>
      <c r="G206" s="253">
        <v>18235600</v>
      </c>
      <c r="H206" s="263"/>
      <c r="I206" s="263" t="s">
        <v>1231</v>
      </c>
    </row>
    <row r="207" spans="2:9" ht="15.75" customHeight="1">
      <c r="B207" s="263">
        <v>956</v>
      </c>
      <c r="C207" s="263" t="s">
        <v>1422</v>
      </c>
      <c r="D207" s="263">
        <v>2</v>
      </c>
      <c r="E207" s="171">
        <v>45352</v>
      </c>
      <c r="F207" s="225" t="s">
        <v>1155</v>
      </c>
      <c r="G207" s="253">
        <v>3239230</v>
      </c>
      <c r="H207" s="263"/>
      <c r="I207" s="263" t="s">
        <v>1231</v>
      </c>
    </row>
    <row r="208" spans="2:9" ht="15.75" customHeight="1">
      <c r="B208" s="263">
        <v>957</v>
      </c>
      <c r="C208" s="263" t="s">
        <v>1423</v>
      </c>
      <c r="D208" s="263">
        <v>2</v>
      </c>
      <c r="E208" s="171">
        <v>44236</v>
      </c>
      <c r="F208" s="225" t="s">
        <v>1155</v>
      </c>
      <c r="G208" s="253">
        <v>12367940</v>
      </c>
      <c r="H208" s="263"/>
      <c r="I208" s="263" t="s">
        <v>1231</v>
      </c>
    </row>
    <row r="209" spans="2:9" ht="15.75" customHeight="1">
      <c r="B209" s="263">
        <v>958</v>
      </c>
      <c r="C209" s="263" t="s">
        <v>1424</v>
      </c>
      <c r="D209" s="263">
        <v>2</v>
      </c>
      <c r="E209" s="171">
        <v>44594</v>
      </c>
      <c r="F209" s="225" t="s">
        <v>1155</v>
      </c>
      <c r="G209" s="253">
        <v>8713430</v>
      </c>
      <c r="H209" s="263"/>
      <c r="I209" s="263" t="s">
        <v>1231</v>
      </c>
    </row>
    <row r="210" spans="2:9" ht="15.75" customHeight="1">
      <c r="B210" s="263">
        <v>959</v>
      </c>
      <c r="C210" s="263" t="s">
        <v>1425</v>
      </c>
      <c r="D210" s="263">
        <v>2</v>
      </c>
      <c r="E210" s="171">
        <v>44151</v>
      </c>
      <c r="F210" s="225" t="s">
        <v>1155</v>
      </c>
      <c r="G210" s="253">
        <v>18600230</v>
      </c>
      <c r="H210" s="263"/>
      <c r="I210" s="263" t="s">
        <v>1231</v>
      </c>
    </row>
    <row r="211" spans="2:9" ht="15.75" customHeight="1">
      <c r="B211" s="263">
        <v>960</v>
      </c>
      <c r="C211" s="263" t="s">
        <v>1426</v>
      </c>
      <c r="D211" s="263">
        <v>2</v>
      </c>
      <c r="E211" s="171">
        <v>45383</v>
      </c>
      <c r="F211" s="225" t="s">
        <v>1155</v>
      </c>
      <c r="G211" s="253">
        <v>3117840</v>
      </c>
      <c r="H211" s="263"/>
      <c r="I211" s="263" t="s">
        <v>1231</v>
      </c>
    </row>
    <row r="212" spans="2:9" ht="15.75" customHeight="1">
      <c r="B212" s="263">
        <v>961</v>
      </c>
      <c r="C212" s="263" t="s">
        <v>1427</v>
      </c>
      <c r="D212" s="263">
        <v>2</v>
      </c>
      <c r="E212" s="171">
        <v>44509</v>
      </c>
      <c r="F212" s="225" t="s">
        <v>1155</v>
      </c>
      <c r="G212" s="253">
        <v>16148700</v>
      </c>
      <c r="H212" s="263"/>
      <c r="I212" s="263" t="s">
        <v>1231</v>
      </c>
    </row>
    <row r="213" spans="2:9" ht="15.75" customHeight="1">
      <c r="B213" s="263">
        <v>962</v>
      </c>
      <c r="C213" s="263" t="s">
        <v>1428</v>
      </c>
      <c r="D213" s="263">
        <v>2</v>
      </c>
      <c r="E213" s="171">
        <v>44753</v>
      </c>
      <c r="F213" s="225" t="s">
        <v>1155</v>
      </c>
      <c r="G213" s="253">
        <v>11164200</v>
      </c>
      <c r="H213" s="263"/>
      <c r="I213" s="263" t="s">
        <v>1231</v>
      </c>
    </row>
    <row r="214" spans="2:9" ht="15.75" customHeight="1">
      <c r="B214" s="263">
        <v>963</v>
      </c>
      <c r="C214" s="263" t="s">
        <v>1429</v>
      </c>
      <c r="D214" s="263">
        <v>2</v>
      </c>
      <c r="E214" s="171">
        <v>45448</v>
      </c>
      <c r="F214" s="225" t="s">
        <v>1155</v>
      </c>
      <c r="G214" s="253">
        <v>2300000</v>
      </c>
      <c r="H214" s="263"/>
      <c r="I214" s="263" t="s">
        <v>1231</v>
      </c>
    </row>
    <row r="215" spans="2:9" ht="15.75" customHeight="1">
      <c r="B215" s="263">
        <v>964</v>
      </c>
      <c r="C215" s="263" t="s">
        <v>1430</v>
      </c>
      <c r="D215" s="263">
        <v>2</v>
      </c>
      <c r="E215" s="171">
        <v>44515</v>
      </c>
      <c r="F215" s="225" t="s">
        <v>1155</v>
      </c>
      <c r="G215" s="253">
        <v>10861590</v>
      </c>
      <c r="H215" s="263"/>
      <c r="I215" s="263" t="s">
        <v>1231</v>
      </c>
    </row>
    <row r="216" spans="2:9" ht="15.75" customHeight="1">
      <c r="B216" s="263">
        <v>965</v>
      </c>
      <c r="C216" s="263" t="s">
        <v>1431</v>
      </c>
      <c r="D216" s="263">
        <v>2</v>
      </c>
      <c r="E216" s="171">
        <v>44588</v>
      </c>
      <c r="F216" s="225" t="s">
        <v>1155</v>
      </c>
      <c r="G216" s="253">
        <v>8393790</v>
      </c>
      <c r="H216" s="263"/>
      <c r="I216" s="263" t="s">
        <v>1231</v>
      </c>
    </row>
    <row r="217" spans="2:9" ht="15.75" customHeight="1">
      <c r="B217" s="263">
        <v>966</v>
      </c>
      <c r="C217" s="263" t="s">
        <v>1432</v>
      </c>
      <c r="D217" s="263">
        <v>2</v>
      </c>
      <c r="E217" s="171">
        <v>44312</v>
      </c>
      <c r="F217" s="225" t="s">
        <v>1155</v>
      </c>
      <c r="G217" s="253">
        <v>14346270</v>
      </c>
      <c r="H217" s="263"/>
      <c r="I217" s="263" t="s">
        <v>1231</v>
      </c>
    </row>
    <row r="218" spans="2:9" ht="15.75" customHeight="1">
      <c r="B218" s="263">
        <v>967</v>
      </c>
      <c r="C218" s="263" t="s">
        <v>1433</v>
      </c>
      <c r="D218" s="263">
        <v>2</v>
      </c>
      <c r="E218" s="171">
        <v>44341</v>
      </c>
      <c r="F218" s="225" t="s">
        <v>1155</v>
      </c>
      <c r="G218" s="253">
        <v>13566400</v>
      </c>
      <c r="H218" s="263"/>
      <c r="I218" s="263" t="s">
        <v>1231</v>
      </c>
    </row>
    <row r="219" spans="2:9" ht="15.75" customHeight="1">
      <c r="B219" s="263">
        <v>968</v>
      </c>
      <c r="C219" s="263" t="s">
        <v>1434</v>
      </c>
      <c r="D219" s="263">
        <v>1</v>
      </c>
      <c r="E219" s="171">
        <v>44277</v>
      </c>
      <c r="F219" s="225" t="s">
        <v>1155</v>
      </c>
      <c r="G219" s="253">
        <v>16024010</v>
      </c>
      <c r="H219" s="263"/>
      <c r="I219" s="263" t="s">
        <v>1231</v>
      </c>
    </row>
    <row r="220" spans="2:9" ht="15.75" customHeight="1">
      <c r="B220" s="263">
        <v>969</v>
      </c>
      <c r="C220" s="263" t="s">
        <v>1435</v>
      </c>
      <c r="D220" s="263">
        <v>2</v>
      </c>
      <c r="E220" s="171">
        <v>44918</v>
      </c>
      <c r="F220" s="225" t="s">
        <v>1160</v>
      </c>
      <c r="G220" s="253">
        <v>6520290</v>
      </c>
      <c r="H220" s="263"/>
      <c r="I220" s="263" t="s">
        <v>1231</v>
      </c>
    </row>
    <row r="221" spans="2:9" ht="15.75" customHeight="1">
      <c r="B221" s="263">
        <v>970</v>
      </c>
      <c r="C221" s="263" t="s">
        <v>1436</v>
      </c>
      <c r="D221" s="263">
        <v>2</v>
      </c>
      <c r="E221" s="171">
        <v>44132</v>
      </c>
      <c r="F221" s="225" t="s">
        <v>1160</v>
      </c>
      <c r="G221" s="253">
        <v>17474160</v>
      </c>
      <c r="H221" s="263"/>
      <c r="I221" s="263" t="s">
        <v>1231</v>
      </c>
    </row>
    <row r="222" spans="2:9" ht="15.75" customHeight="1">
      <c r="B222" s="263">
        <v>971</v>
      </c>
      <c r="C222" s="263" t="s">
        <v>1437</v>
      </c>
      <c r="D222" s="263">
        <v>2</v>
      </c>
      <c r="E222" s="171">
        <v>45373</v>
      </c>
      <c r="F222" s="225" t="s">
        <v>1157</v>
      </c>
      <c r="G222" s="253">
        <v>5214210</v>
      </c>
      <c r="H222" s="263"/>
      <c r="I222" s="263" t="s">
        <v>1231</v>
      </c>
    </row>
    <row r="223" spans="2:9" ht="15.75" customHeight="1">
      <c r="B223" s="263">
        <v>972</v>
      </c>
      <c r="C223" s="263" t="s">
        <v>1438</v>
      </c>
      <c r="D223" s="263">
        <v>2</v>
      </c>
      <c r="E223" s="171">
        <v>45399</v>
      </c>
      <c r="F223" s="225" t="s">
        <v>1161</v>
      </c>
      <c r="G223" s="253">
        <v>2985650</v>
      </c>
      <c r="H223" s="263"/>
      <c r="I223" s="263" t="s">
        <v>1231</v>
      </c>
    </row>
    <row r="224" spans="2:9" ht="15.75" customHeight="1">
      <c r="B224" s="263">
        <v>973</v>
      </c>
      <c r="C224" s="263" t="s">
        <v>1439</v>
      </c>
      <c r="D224" s="263">
        <v>2</v>
      </c>
      <c r="E224" s="171">
        <v>45024</v>
      </c>
      <c r="F224" s="225" t="s">
        <v>1162</v>
      </c>
      <c r="G224" s="253">
        <v>5289540</v>
      </c>
      <c r="H224" s="263"/>
      <c r="I224" s="263" t="s">
        <v>1231</v>
      </c>
    </row>
    <row r="225" spans="2:9" ht="15.75" customHeight="1">
      <c r="B225" s="263">
        <v>974</v>
      </c>
      <c r="C225" s="263" t="s">
        <v>1440</v>
      </c>
      <c r="D225" s="263">
        <v>1</v>
      </c>
      <c r="E225" s="171">
        <v>44354</v>
      </c>
      <c r="F225" s="225" t="s">
        <v>1164</v>
      </c>
      <c r="G225" s="253">
        <v>15606650</v>
      </c>
      <c r="H225" s="263"/>
      <c r="I225" s="263" t="s">
        <v>1231</v>
      </c>
    </row>
    <row r="226" spans="2:9" ht="15.75" customHeight="1">
      <c r="B226" s="263">
        <v>975</v>
      </c>
      <c r="C226" s="263" t="s">
        <v>1441</v>
      </c>
      <c r="D226" s="263">
        <v>2</v>
      </c>
      <c r="E226" s="171">
        <v>44881</v>
      </c>
      <c r="F226" s="225" t="s">
        <v>1164</v>
      </c>
      <c r="G226" s="253">
        <v>14474140</v>
      </c>
      <c r="H226" s="263"/>
      <c r="I226" s="263" t="s">
        <v>1231</v>
      </c>
    </row>
    <row r="227" spans="2:9" ht="15.75" customHeight="1">
      <c r="B227" s="263">
        <v>976</v>
      </c>
      <c r="C227" s="263" t="s">
        <v>1442</v>
      </c>
      <c r="D227" s="263">
        <v>1</v>
      </c>
      <c r="E227" s="171">
        <v>44039</v>
      </c>
      <c r="F227" s="225" t="s">
        <v>1165</v>
      </c>
      <c r="G227" s="253">
        <v>17232460</v>
      </c>
      <c r="H227" s="263"/>
      <c r="I227" s="263" t="s">
        <v>1231</v>
      </c>
    </row>
    <row r="228" spans="2:9" ht="15.75" customHeight="1">
      <c r="B228" s="263">
        <v>977</v>
      </c>
      <c r="C228" s="263" t="s">
        <v>1443</v>
      </c>
      <c r="D228" s="263">
        <v>1</v>
      </c>
      <c r="E228" s="171">
        <v>44221</v>
      </c>
      <c r="F228" s="225" t="s">
        <v>1166</v>
      </c>
      <c r="G228" s="253">
        <v>17235000</v>
      </c>
      <c r="H228" s="263"/>
      <c r="I228" s="263" t="s">
        <v>1231</v>
      </c>
    </row>
    <row r="229" spans="2:9" ht="15.75" customHeight="1">
      <c r="B229" s="263">
        <v>978</v>
      </c>
      <c r="C229" s="263" t="s">
        <v>1444</v>
      </c>
      <c r="D229" s="263">
        <v>2</v>
      </c>
      <c r="E229" s="171">
        <v>44172</v>
      </c>
      <c r="F229" s="225" t="s">
        <v>1163</v>
      </c>
      <c r="G229" s="253">
        <v>13222680</v>
      </c>
      <c r="H229" s="263"/>
      <c r="I229" s="263" t="s">
        <v>1231</v>
      </c>
    </row>
    <row r="230" spans="2:9" ht="15.75" customHeight="1">
      <c r="B230" s="263">
        <v>979</v>
      </c>
      <c r="C230" s="263" t="s">
        <v>1445</v>
      </c>
      <c r="D230" s="263">
        <v>2</v>
      </c>
      <c r="E230" s="171">
        <v>44228</v>
      </c>
      <c r="F230" s="225" t="s">
        <v>1163</v>
      </c>
      <c r="G230" s="253">
        <v>12678780</v>
      </c>
      <c r="H230" s="263"/>
      <c r="I230" s="263" t="s">
        <v>1231</v>
      </c>
    </row>
    <row r="231" spans="2:9" ht="15.75" customHeight="1">
      <c r="B231" s="263">
        <v>980</v>
      </c>
      <c r="C231" s="263" t="s">
        <v>1446</v>
      </c>
      <c r="D231" s="263">
        <v>1</v>
      </c>
      <c r="E231" s="171">
        <v>45356</v>
      </c>
      <c r="F231" s="225" t="s">
        <v>1163</v>
      </c>
      <c r="G231" s="253">
        <v>3186370</v>
      </c>
      <c r="H231" s="263"/>
      <c r="I231" s="263" t="s">
        <v>1231</v>
      </c>
    </row>
    <row r="232" spans="2:9" ht="15.75" customHeight="1">
      <c r="B232" s="263">
        <v>981</v>
      </c>
      <c r="C232" s="263" t="s">
        <v>1447</v>
      </c>
      <c r="D232" s="263">
        <v>2</v>
      </c>
      <c r="E232" s="171">
        <v>44537</v>
      </c>
      <c r="F232" s="225" t="s">
        <v>1163</v>
      </c>
      <c r="G232" s="253">
        <v>10146740</v>
      </c>
      <c r="H232" s="263"/>
      <c r="I232" s="263" t="s">
        <v>1231</v>
      </c>
    </row>
    <row r="233" spans="2:9" ht="15.75" customHeight="1">
      <c r="B233" s="263">
        <v>982</v>
      </c>
      <c r="C233" s="263" t="s">
        <v>1448</v>
      </c>
      <c r="D233" s="263">
        <v>2</v>
      </c>
      <c r="E233" s="171">
        <v>44312</v>
      </c>
      <c r="F233" s="225" t="s">
        <v>1167</v>
      </c>
      <c r="G233" s="253">
        <v>18478660</v>
      </c>
      <c r="H233" s="263"/>
      <c r="I233" s="263" t="s">
        <v>1231</v>
      </c>
    </row>
    <row r="234" spans="2:9" ht="15.75" customHeight="1">
      <c r="B234" s="263">
        <v>983</v>
      </c>
      <c r="C234" s="263" t="s">
        <v>1449</v>
      </c>
      <c r="D234" s="263">
        <v>2</v>
      </c>
      <c r="E234" s="171">
        <v>45425</v>
      </c>
      <c r="F234" s="225" t="s">
        <v>1168</v>
      </c>
      <c r="G234" s="253">
        <v>2985650</v>
      </c>
      <c r="H234" s="263"/>
      <c r="I234" s="263" t="s">
        <v>1231</v>
      </c>
    </row>
    <row r="235" spans="2:9" ht="15.75" customHeight="1">
      <c r="B235" s="263">
        <v>984</v>
      </c>
      <c r="C235" s="263" t="s">
        <v>1450</v>
      </c>
      <c r="D235" s="263">
        <v>2</v>
      </c>
      <c r="E235" s="171">
        <v>45425</v>
      </c>
      <c r="F235" s="225" t="s">
        <v>1168</v>
      </c>
      <c r="G235" s="253">
        <v>2870820</v>
      </c>
      <c r="H235" s="263"/>
      <c r="I235" s="263" t="s">
        <v>1231</v>
      </c>
    </row>
    <row r="236" spans="2:9" ht="15.75" customHeight="1">
      <c r="B236" s="263">
        <v>985</v>
      </c>
      <c r="C236" s="263" t="s">
        <v>1451</v>
      </c>
      <c r="D236" s="263">
        <v>1</v>
      </c>
      <c r="E236" s="171">
        <v>43381</v>
      </c>
      <c r="F236" s="225" t="s">
        <v>1169</v>
      </c>
      <c r="G236" s="253">
        <v>47326340</v>
      </c>
      <c r="H236" s="263"/>
      <c r="I236" s="263" t="s">
        <v>1231</v>
      </c>
    </row>
    <row r="237" spans="2:9" ht="15.75" customHeight="1">
      <c r="B237" s="263">
        <v>986</v>
      </c>
      <c r="C237" s="263" t="s">
        <v>1452</v>
      </c>
      <c r="D237" s="263">
        <v>2</v>
      </c>
      <c r="E237" s="171">
        <v>45048</v>
      </c>
      <c r="F237" s="225" t="s">
        <v>1166</v>
      </c>
      <c r="G237" s="253">
        <v>6159930</v>
      </c>
      <c r="H237" s="263"/>
      <c r="I237" s="263" t="s">
        <v>1231</v>
      </c>
    </row>
    <row r="238" spans="2:9" ht="15.75" customHeight="1">
      <c r="B238" s="263">
        <v>987</v>
      </c>
      <c r="C238" s="263" t="s">
        <v>1453</v>
      </c>
      <c r="D238" s="263">
        <v>2</v>
      </c>
      <c r="E238" s="171">
        <v>43640</v>
      </c>
      <c r="F238" s="225" t="s">
        <v>1163</v>
      </c>
      <c r="G238" s="253">
        <v>1879170</v>
      </c>
      <c r="H238" s="263"/>
      <c r="I238" s="263" t="s">
        <v>1231</v>
      </c>
    </row>
    <row r="239" spans="2:9" ht="15.75" customHeight="1">
      <c r="B239" s="263">
        <v>988</v>
      </c>
      <c r="C239" s="263" t="s">
        <v>1454</v>
      </c>
      <c r="D239" s="263">
        <v>2</v>
      </c>
      <c r="E239" s="171">
        <v>44179</v>
      </c>
      <c r="F239" s="225" t="s">
        <v>1163</v>
      </c>
      <c r="G239" s="253">
        <v>1537500</v>
      </c>
      <c r="H239" s="263"/>
      <c r="I239" s="263" t="s">
        <v>1231</v>
      </c>
    </row>
    <row r="240" spans="2:9" ht="15.75" customHeight="1">
      <c r="B240" s="263">
        <v>989</v>
      </c>
      <c r="C240" s="263" t="s">
        <v>1455</v>
      </c>
      <c r="D240" s="263">
        <v>2</v>
      </c>
      <c r="E240" s="171">
        <v>44704</v>
      </c>
      <c r="F240" s="225" t="s">
        <v>1163</v>
      </c>
      <c r="G240" s="253">
        <v>11569060</v>
      </c>
      <c r="H240" s="263"/>
      <c r="I240" s="263" t="s">
        <v>1231</v>
      </c>
    </row>
    <row r="241" spans="2:9" ht="15.75" customHeight="1">
      <c r="B241" s="263">
        <v>990</v>
      </c>
      <c r="C241" s="263" t="s">
        <v>1456</v>
      </c>
      <c r="D241" s="263">
        <v>2</v>
      </c>
      <c r="E241" s="171">
        <v>45064</v>
      </c>
      <c r="F241" s="225" t="s">
        <v>1163</v>
      </c>
      <c r="G241" s="253">
        <v>5496330</v>
      </c>
      <c r="H241" s="263"/>
      <c r="I241" s="263" t="s">
        <v>1231</v>
      </c>
    </row>
    <row r="242" spans="2:9" ht="15.75" customHeight="1">
      <c r="B242" s="263">
        <v>991</v>
      </c>
      <c r="C242" s="263" t="s">
        <v>1457</v>
      </c>
      <c r="D242" s="263">
        <v>2</v>
      </c>
      <c r="E242" s="171">
        <v>43682</v>
      </c>
      <c r="F242" s="225" t="s">
        <v>1163</v>
      </c>
      <c r="G242" s="253">
        <v>27339190</v>
      </c>
      <c r="H242" s="263"/>
      <c r="I242" s="263" t="s">
        <v>1231</v>
      </c>
    </row>
    <row r="243" spans="2:9" ht="15.75" customHeight="1">
      <c r="B243" s="263">
        <v>992</v>
      </c>
      <c r="C243" s="263" t="s">
        <v>1458</v>
      </c>
      <c r="D243" s="263">
        <v>2</v>
      </c>
      <c r="E243" s="171">
        <v>44263</v>
      </c>
      <c r="F243" s="225" t="s">
        <v>1163</v>
      </c>
      <c r="G243" s="253">
        <v>14992480</v>
      </c>
      <c r="H243" s="263"/>
      <c r="I243" s="263" t="s">
        <v>1231</v>
      </c>
    </row>
    <row r="244" spans="2:9" ht="15.75" customHeight="1">
      <c r="B244" s="263">
        <v>993</v>
      </c>
      <c r="C244" s="263" t="s">
        <v>1459</v>
      </c>
      <c r="D244" s="263">
        <v>2</v>
      </c>
      <c r="E244" s="171">
        <v>45276</v>
      </c>
      <c r="F244" s="225" t="s">
        <v>1163</v>
      </c>
      <c r="G244" s="253">
        <v>6706290</v>
      </c>
      <c r="H244" s="263"/>
      <c r="I244" s="263" t="s">
        <v>1231</v>
      </c>
    </row>
    <row r="245" spans="2:9" ht="15.75" customHeight="1">
      <c r="B245" s="263">
        <v>994</v>
      </c>
      <c r="C245" s="263" t="s">
        <v>1460</v>
      </c>
      <c r="D245" s="263">
        <v>2</v>
      </c>
      <c r="E245" s="171">
        <v>44172</v>
      </c>
      <c r="F245" s="225" t="s">
        <v>1163</v>
      </c>
      <c r="G245" s="253">
        <v>17172230</v>
      </c>
      <c r="H245" s="263"/>
      <c r="I245" s="263" t="s">
        <v>1231</v>
      </c>
    </row>
    <row r="246" spans="2:9" ht="15.75" customHeight="1">
      <c r="B246" s="263">
        <v>995</v>
      </c>
      <c r="C246" s="263" t="s">
        <v>1461</v>
      </c>
      <c r="D246" s="263">
        <v>2</v>
      </c>
      <c r="E246" s="171">
        <v>44172</v>
      </c>
      <c r="F246" s="225" t="s">
        <v>1163</v>
      </c>
      <c r="G246" s="253">
        <v>13535560</v>
      </c>
      <c r="H246" s="263"/>
      <c r="I246" s="263" t="s">
        <v>1231</v>
      </c>
    </row>
    <row r="247" spans="2:9" ht="15.75" customHeight="1">
      <c r="B247" s="263">
        <v>996</v>
      </c>
      <c r="C247" s="263" t="s">
        <v>1462</v>
      </c>
      <c r="D247" s="263">
        <v>2</v>
      </c>
      <c r="E247" s="171">
        <v>44622</v>
      </c>
      <c r="F247" s="225" t="s">
        <v>1163</v>
      </c>
      <c r="G247" s="253">
        <v>9670680</v>
      </c>
      <c r="H247" s="263"/>
      <c r="I247" s="263" t="s">
        <v>1231</v>
      </c>
    </row>
    <row r="248" spans="2:9" ht="15.75" customHeight="1">
      <c r="B248" s="263">
        <v>997</v>
      </c>
      <c r="C248" s="263" t="s">
        <v>1463</v>
      </c>
      <c r="D248" s="263">
        <v>2</v>
      </c>
      <c r="E248" s="171">
        <v>44400</v>
      </c>
      <c r="F248" s="225" t="s">
        <v>1163</v>
      </c>
      <c r="G248" s="253">
        <v>22932710</v>
      </c>
      <c r="H248" s="263"/>
      <c r="I248" s="263" t="s">
        <v>1231</v>
      </c>
    </row>
    <row r="249" spans="2:9" ht="15.75" customHeight="1">
      <c r="B249" s="263">
        <v>998</v>
      </c>
      <c r="C249" s="263" t="s">
        <v>1464</v>
      </c>
      <c r="D249" s="263">
        <v>2</v>
      </c>
      <c r="E249" s="171">
        <v>44137</v>
      </c>
      <c r="F249" s="225" t="s">
        <v>1163</v>
      </c>
      <c r="G249" s="253">
        <v>12007400</v>
      </c>
      <c r="H249" s="263"/>
      <c r="I249" s="263" t="s">
        <v>1231</v>
      </c>
    </row>
    <row r="250" spans="2:9" ht="15.75" customHeight="1">
      <c r="B250" s="263">
        <v>999</v>
      </c>
      <c r="C250" s="263" t="s">
        <v>1465</v>
      </c>
      <c r="D250" s="263">
        <v>1</v>
      </c>
      <c r="E250" s="171">
        <v>45194</v>
      </c>
      <c r="F250" s="225" t="s">
        <v>1163</v>
      </c>
      <c r="G250" s="253">
        <v>7377040</v>
      </c>
      <c r="H250" s="263"/>
      <c r="I250" s="263" t="s">
        <v>1231</v>
      </c>
    </row>
    <row r="251" spans="2:9" ht="15.75" customHeight="1">
      <c r="B251" s="263">
        <v>1000</v>
      </c>
      <c r="C251" s="263" t="s">
        <v>1466</v>
      </c>
      <c r="D251" s="263">
        <v>2</v>
      </c>
      <c r="E251" s="171">
        <v>44250</v>
      </c>
      <c r="F251" s="225" t="s">
        <v>1163</v>
      </c>
      <c r="G251" s="253">
        <v>18087900</v>
      </c>
      <c r="H251" s="263"/>
      <c r="I251" s="263" t="s">
        <v>1231</v>
      </c>
    </row>
    <row r="252" spans="2:9" ht="15.75" customHeight="1">
      <c r="B252" s="263">
        <v>1001</v>
      </c>
      <c r="C252" s="263" t="s">
        <v>418</v>
      </c>
      <c r="D252" s="263">
        <v>2</v>
      </c>
      <c r="E252" s="171">
        <v>44256</v>
      </c>
      <c r="F252" s="225" t="s">
        <v>1163</v>
      </c>
      <c r="G252" s="253">
        <v>16087240</v>
      </c>
      <c r="H252" s="263"/>
      <c r="I252" s="263" t="s">
        <v>1231</v>
      </c>
    </row>
    <row r="253" spans="2:9" ht="15.75" customHeight="1">
      <c r="B253" s="263">
        <v>1002</v>
      </c>
      <c r="C253" s="263" t="s">
        <v>1467</v>
      </c>
      <c r="D253" s="263">
        <v>2</v>
      </c>
      <c r="E253" s="171">
        <v>44470</v>
      </c>
      <c r="F253" s="225" t="s">
        <v>1163</v>
      </c>
      <c r="G253" s="253">
        <v>10748850</v>
      </c>
      <c r="H253" s="263"/>
      <c r="I253" s="263" t="s">
        <v>1231</v>
      </c>
    </row>
    <row r="254" spans="2:9" ht="15.75" customHeight="1">
      <c r="B254" s="263">
        <v>1003</v>
      </c>
      <c r="C254" s="263" t="s">
        <v>1468</v>
      </c>
      <c r="D254" s="263">
        <v>2</v>
      </c>
      <c r="E254" s="171">
        <v>45413</v>
      </c>
      <c r="F254" s="225" t="s">
        <v>1163</v>
      </c>
      <c r="G254" s="253">
        <v>2755990</v>
      </c>
      <c r="H254" s="263"/>
      <c r="I254" s="263" t="s">
        <v>1231</v>
      </c>
    </row>
    <row r="255" spans="2:9" ht="15.75" customHeight="1">
      <c r="B255" s="263">
        <v>1004</v>
      </c>
      <c r="C255" s="263" t="s">
        <v>1469</v>
      </c>
      <c r="D255" s="263">
        <v>2</v>
      </c>
      <c r="E255" s="171">
        <v>44153</v>
      </c>
      <c r="F255" s="225" t="s">
        <v>1163</v>
      </c>
      <c r="G255" s="253">
        <v>22115950</v>
      </c>
      <c r="H255" s="263"/>
      <c r="I255" s="263" t="s">
        <v>1231</v>
      </c>
    </row>
    <row r="256" spans="2:9" ht="15.75" customHeight="1">
      <c r="B256" s="263">
        <v>1005</v>
      </c>
      <c r="C256" s="263" t="s">
        <v>510</v>
      </c>
      <c r="D256" s="263">
        <v>2</v>
      </c>
      <c r="E256" s="171">
        <v>44122</v>
      </c>
      <c r="F256" s="225" t="s">
        <v>1163</v>
      </c>
      <c r="G256" s="253">
        <v>24775820</v>
      </c>
      <c r="H256" s="263"/>
      <c r="I256" s="263" t="s">
        <v>1231</v>
      </c>
    </row>
    <row r="257" spans="2:9" ht="15.75" customHeight="1">
      <c r="B257" s="263">
        <v>1006</v>
      </c>
      <c r="C257" s="263" t="s">
        <v>1470</v>
      </c>
      <c r="D257" s="263">
        <v>2</v>
      </c>
      <c r="E257" s="171">
        <v>44256</v>
      </c>
      <c r="F257" s="225" t="s">
        <v>1163</v>
      </c>
      <c r="G257" s="253">
        <v>16141340</v>
      </c>
      <c r="H257" s="263"/>
      <c r="I257" s="263" t="s">
        <v>1231</v>
      </c>
    </row>
    <row r="258" spans="2:9" ht="15.75" customHeight="1">
      <c r="B258" s="263">
        <v>1007</v>
      </c>
      <c r="C258" s="263" t="s">
        <v>1471</v>
      </c>
      <c r="D258" s="263">
        <v>2</v>
      </c>
      <c r="E258" s="171">
        <v>44781</v>
      </c>
      <c r="F258" s="225" t="s">
        <v>1163</v>
      </c>
      <c r="G258" s="253">
        <v>10455860</v>
      </c>
      <c r="H258" s="263"/>
      <c r="I258" s="263" t="s">
        <v>1231</v>
      </c>
    </row>
    <row r="259" spans="2:9" ht="15.75" customHeight="1">
      <c r="B259" s="263">
        <v>1008</v>
      </c>
      <c r="C259" s="263" t="s">
        <v>1472</v>
      </c>
      <c r="D259" s="263">
        <v>2</v>
      </c>
      <c r="E259" s="171">
        <v>45409</v>
      </c>
      <c r="F259" s="225" t="s">
        <v>1167</v>
      </c>
      <c r="G259" s="253">
        <v>3341900</v>
      </c>
      <c r="H259" s="263"/>
      <c r="I259" s="263" t="s">
        <v>1231</v>
      </c>
    </row>
    <row r="260" spans="2:9" ht="15.75" customHeight="1">
      <c r="B260" s="263">
        <v>1009</v>
      </c>
      <c r="C260" s="263" t="s">
        <v>1473</v>
      </c>
      <c r="D260" s="263">
        <v>2</v>
      </c>
      <c r="E260" s="171">
        <v>44158</v>
      </c>
      <c r="F260" s="225" t="s">
        <v>1170</v>
      </c>
      <c r="G260" s="253">
        <v>19296520</v>
      </c>
      <c r="H260" s="263"/>
      <c r="I260" s="263" t="s">
        <v>1231</v>
      </c>
    </row>
    <row r="261" spans="2:9" ht="15.75" customHeight="1">
      <c r="B261" s="263">
        <v>1010</v>
      </c>
      <c r="C261" s="263" t="s">
        <v>1474</v>
      </c>
      <c r="D261" s="263">
        <v>1</v>
      </c>
      <c r="E261" s="171">
        <v>44354</v>
      </c>
      <c r="F261" s="225" t="s">
        <v>1171</v>
      </c>
      <c r="G261" s="253">
        <v>29570700</v>
      </c>
      <c r="H261" s="263"/>
      <c r="I261" s="263" t="s">
        <v>1231</v>
      </c>
    </row>
    <row r="262" spans="2:9" ht="15.75" customHeight="1">
      <c r="B262" s="263">
        <v>1011</v>
      </c>
      <c r="C262" s="263" t="s">
        <v>1475</v>
      </c>
      <c r="D262" s="263">
        <v>2</v>
      </c>
      <c r="E262" s="171">
        <v>44368</v>
      </c>
      <c r="F262" s="225" t="s">
        <v>1171</v>
      </c>
      <c r="G262" s="253">
        <v>16691890</v>
      </c>
      <c r="H262" s="263"/>
      <c r="I262" s="263" t="s">
        <v>1231</v>
      </c>
    </row>
    <row r="263" spans="2:9" ht="15.75" customHeight="1">
      <c r="B263" s="263">
        <v>1012</v>
      </c>
      <c r="C263" s="263" t="s">
        <v>1476</v>
      </c>
      <c r="D263" s="263">
        <v>2</v>
      </c>
      <c r="E263" s="171">
        <v>44931</v>
      </c>
      <c r="F263" s="225" t="s">
        <v>1171</v>
      </c>
      <c r="G263" s="253">
        <v>14782050</v>
      </c>
      <c r="H263" s="263"/>
      <c r="I263" s="263" t="s">
        <v>1231</v>
      </c>
    </row>
    <row r="264" spans="2:9" ht="15.75" customHeight="1">
      <c r="B264" s="263">
        <v>1013</v>
      </c>
      <c r="C264" s="263" t="s">
        <v>1477</v>
      </c>
      <c r="D264" s="263">
        <v>1</v>
      </c>
      <c r="E264" s="171">
        <v>45033</v>
      </c>
      <c r="F264" s="225" t="s">
        <v>1171</v>
      </c>
      <c r="G264" s="253">
        <v>15131690</v>
      </c>
      <c r="H264" s="263"/>
      <c r="I264" s="263" t="s">
        <v>1231</v>
      </c>
    </row>
    <row r="265" spans="2:9" ht="15.75" customHeight="1">
      <c r="B265" s="263">
        <v>1014</v>
      </c>
      <c r="C265" s="263" t="s">
        <v>1478</v>
      </c>
      <c r="D265" s="263">
        <v>2</v>
      </c>
      <c r="E265" s="171">
        <v>45432</v>
      </c>
      <c r="F265" s="225" t="s">
        <v>1172</v>
      </c>
      <c r="G265" s="253">
        <v>3262670</v>
      </c>
      <c r="H265" s="263"/>
      <c r="I265" s="263" t="s">
        <v>1231</v>
      </c>
    </row>
    <row r="266" spans="2:9" ht="15.75" customHeight="1">
      <c r="B266" s="263">
        <v>1015</v>
      </c>
      <c r="C266" s="263" t="s">
        <v>1479</v>
      </c>
      <c r="D266" s="263">
        <v>2</v>
      </c>
      <c r="E266" s="171">
        <v>44375</v>
      </c>
      <c r="F266" s="225" t="s">
        <v>1173</v>
      </c>
      <c r="G266" s="253">
        <v>17475730</v>
      </c>
      <c r="H266" s="263"/>
      <c r="I266" s="263" t="s">
        <v>1231</v>
      </c>
    </row>
    <row r="267" spans="2:9" ht="15.75" customHeight="1">
      <c r="B267" s="263">
        <v>1016</v>
      </c>
      <c r="C267" s="263" t="s">
        <v>1480</v>
      </c>
      <c r="D267" s="263">
        <v>2</v>
      </c>
      <c r="E267" s="171">
        <v>44553</v>
      </c>
      <c r="F267" s="225" t="s">
        <v>1173</v>
      </c>
      <c r="G267" s="253">
        <v>11762790</v>
      </c>
      <c r="H267" s="263"/>
      <c r="I267" s="263" t="s">
        <v>1231</v>
      </c>
    </row>
    <row r="268" spans="2:9" ht="15.75" customHeight="1">
      <c r="B268" s="263">
        <v>1017</v>
      </c>
      <c r="C268" s="263" t="s">
        <v>1481</v>
      </c>
      <c r="D268" s="263">
        <v>2</v>
      </c>
      <c r="E268" s="171">
        <v>44328</v>
      </c>
      <c r="F268" s="225" t="s">
        <v>1163</v>
      </c>
      <c r="G268" s="253">
        <v>18109110</v>
      </c>
      <c r="H268" s="263"/>
      <c r="I268" s="263" t="s">
        <v>1231</v>
      </c>
    </row>
    <row r="269" spans="2:9" ht="15.75" customHeight="1">
      <c r="B269" s="263">
        <v>1018</v>
      </c>
      <c r="C269" s="263" t="s">
        <v>1482</v>
      </c>
      <c r="D269" s="263">
        <v>2</v>
      </c>
      <c r="E269" s="171">
        <v>45349</v>
      </c>
      <c r="F269" s="225" t="s">
        <v>1163</v>
      </c>
      <c r="G269" s="253">
        <v>6134750</v>
      </c>
      <c r="H269" s="263"/>
      <c r="I269" s="263" t="s">
        <v>1231</v>
      </c>
    </row>
    <row r="270" spans="2:9" ht="15.75" customHeight="1">
      <c r="B270" s="263">
        <v>1019</v>
      </c>
      <c r="C270" s="263" t="s">
        <v>1483</v>
      </c>
      <c r="D270" s="263">
        <v>2</v>
      </c>
      <c r="E270" s="171">
        <v>44171</v>
      </c>
      <c r="F270" s="225" t="s">
        <v>1163</v>
      </c>
      <c r="G270" s="253">
        <v>18649720</v>
      </c>
      <c r="H270" s="263"/>
      <c r="I270" s="263" t="s">
        <v>1231</v>
      </c>
    </row>
    <row r="271" spans="2:9" ht="15.75" customHeight="1">
      <c r="B271" s="263">
        <v>1020</v>
      </c>
      <c r="C271" s="263" t="s">
        <v>1484</v>
      </c>
      <c r="D271" s="263">
        <v>2</v>
      </c>
      <c r="E271" s="171">
        <v>44151</v>
      </c>
      <c r="F271" s="225" t="s">
        <v>1163</v>
      </c>
      <c r="G271" s="253">
        <v>17844700</v>
      </c>
      <c r="H271" s="263"/>
      <c r="I271" s="263" t="s">
        <v>1231</v>
      </c>
    </row>
    <row r="272" spans="2:9" ht="15.75" customHeight="1">
      <c r="B272" s="263">
        <v>1021</v>
      </c>
      <c r="C272" s="263" t="s">
        <v>1485</v>
      </c>
      <c r="D272" s="263">
        <v>2</v>
      </c>
      <c r="E272" s="171">
        <v>44159</v>
      </c>
      <c r="F272" s="225" t="s">
        <v>1163</v>
      </c>
      <c r="G272" s="253">
        <v>16120010</v>
      </c>
      <c r="H272" s="263"/>
      <c r="I272" s="263" t="s">
        <v>1231</v>
      </c>
    </row>
    <row r="273" spans="2:9" ht="15.75" customHeight="1">
      <c r="B273" s="263">
        <v>1022</v>
      </c>
      <c r="C273" s="263" t="s">
        <v>1486</v>
      </c>
      <c r="D273" s="263">
        <v>2</v>
      </c>
      <c r="E273" s="171">
        <v>44678</v>
      </c>
      <c r="F273" s="225" t="s">
        <v>1163</v>
      </c>
      <c r="G273" s="253">
        <v>8623560</v>
      </c>
      <c r="H273" s="263"/>
      <c r="I273" s="263" t="s">
        <v>1231</v>
      </c>
    </row>
    <row r="274" spans="2:9" ht="15.75" customHeight="1">
      <c r="B274" s="263">
        <v>1023</v>
      </c>
      <c r="C274" s="263" t="s">
        <v>1487</v>
      </c>
      <c r="D274" s="263">
        <v>2</v>
      </c>
      <c r="E274" s="171">
        <v>44061</v>
      </c>
      <c r="F274" s="225" t="s">
        <v>1163</v>
      </c>
      <c r="G274" s="253">
        <v>17285920</v>
      </c>
      <c r="H274" s="263"/>
      <c r="I274" s="263" t="s">
        <v>1231</v>
      </c>
    </row>
    <row r="275" spans="2:9" ht="15.75" customHeight="1">
      <c r="B275" s="263">
        <v>1024</v>
      </c>
      <c r="C275" s="263" t="s">
        <v>1488</v>
      </c>
      <c r="D275" s="263">
        <v>1</v>
      </c>
      <c r="E275" s="171">
        <v>45439</v>
      </c>
      <c r="F275" s="225" t="s">
        <v>1174</v>
      </c>
      <c r="G275" s="253">
        <v>5055810</v>
      </c>
      <c r="H275" s="263"/>
      <c r="I275" s="263" t="s">
        <v>1231</v>
      </c>
    </row>
    <row r="276" spans="2:9" ht="15.75" customHeight="1">
      <c r="B276" s="263">
        <v>1025</v>
      </c>
      <c r="C276" s="263" t="s">
        <v>1489</v>
      </c>
      <c r="D276" s="263">
        <v>1</v>
      </c>
      <c r="E276" s="171">
        <v>43976</v>
      </c>
      <c r="F276" s="225" t="s">
        <v>1175</v>
      </c>
      <c r="G276" s="253">
        <v>21453860</v>
      </c>
      <c r="H276" s="263"/>
      <c r="I276" s="263" t="s">
        <v>1231</v>
      </c>
    </row>
    <row r="277" spans="2:9" ht="15.75" customHeight="1">
      <c r="B277" s="263">
        <v>1026</v>
      </c>
      <c r="C277" s="263" t="s">
        <v>835</v>
      </c>
      <c r="D277" s="263">
        <v>1</v>
      </c>
      <c r="E277" s="171">
        <v>44382</v>
      </c>
      <c r="F277" s="225" t="s">
        <v>1176</v>
      </c>
      <c r="G277" s="253">
        <v>13802320</v>
      </c>
      <c r="H277" s="263"/>
      <c r="I277" s="263" t="s">
        <v>1231</v>
      </c>
    </row>
    <row r="278" spans="2:9" ht="15.75" customHeight="1">
      <c r="B278" s="263">
        <v>1027</v>
      </c>
      <c r="C278" s="263" t="s">
        <v>1490</v>
      </c>
      <c r="D278" s="263">
        <v>2</v>
      </c>
      <c r="E278" s="171">
        <v>44652</v>
      </c>
      <c r="F278" s="225" t="s">
        <v>1175</v>
      </c>
      <c r="G278" s="253">
        <v>12958070</v>
      </c>
      <c r="H278" s="263"/>
      <c r="I278" s="263" t="s">
        <v>1231</v>
      </c>
    </row>
    <row r="279" spans="2:9" ht="15.75" customHeight="1">
      <c r="B279" s="263">
        <v>1028</v>
      </c>
      <c r="C279" s="263" t="s">
        <v>1491</v>
      </c>
      <c r="D279" s="263">
        <v>2</v>
      </c>
      <c r="E279" s="171">
        <v>44901</v>
      </c>
      <c r="F279" s="225" t="s">
        <v>1175</v>
      </c>
      <c r="G279" s="253">
        <v>7141640</v>
      </c>
      <c r="H279" s="263"/>
      <c r="I279" s="263" t="s">
        <v>1231</v>
      </c>
    </row>
    <row r="280" spans="2:9" ht="15.75" customHeight="1">
      <c r="B280" s="263">
        <v>1029</v>
      </c>
      <c r="C280" s="263" t="s">
        <v>1492</v>
      </c>
      <c r="D280" s="263">
        <v>1</v>
      </c>
      <c r="E280" s="171">
        <v>45444</v>
      </c>
      <c r="F280" s="225" t="s">
        <v>1175</v>
      </c>
      <c r="G280" s="253">
        <v>1203600</v>
      </c>
      <c r="H280" s="263"/>
      <c r="I280" s="263" t="s">
        <v>1231</v>
      </c>
    </row>
    <row r="281" spans="2:9" ht="15.75" customHeight="1">
      <c r="B281" s="263">
        <v>1030</v>
      </c>
      <c r="C281" s="263" t="s">
        <v>1493</v>
      </c>
      <c r="D281" s="263">
        <v>2</v>
      </c>
      <c r="E281" s="171">
        <v>44061</v>
      </c>
      <c r="F281" s="225" t="s">
        <v>1175</v>
      </c>
      <c r="G281" s="253">
        <v>18147950</v>
      </c>
      <c r="H281" s="263"/>
      <c r="I281" s="263" t="s">
        <v>1231</v>
      </c>
    </row>
    <row r="282" spans="2:9" ht="15.75" customHeight="1">
      <c r="B282" s="263">
        <v>1031</v>
      </c>
      <c r="C282" s="263" t="s">
        <v>1494</v>
      </c>
      <c r="D282" s="263">
        <v>2</v>
      </c>
      <c r="E282" s="171">
        <v>44837</v>
      </c>
      <c r="F282" s="225" t="s">
        <v>1175</v>
      </c>
      <c r="G282" s="253">
        <v>7140420</v>
      </c>
      <c r="H282" s="263"/>
      <c r="I282" s="263" t="s">
        <v>1231</v>
      </c>
    </row>
    <row r="283" spans="2:9" ht="15.75" customHeight="1">
      <c r="B283" s="263">
        <v>1032</v>
      </c>
      <c r="C283" s="263" t="s">
        <v>1495</v>
      </c>
      <c r="D283" s="263">
        <v>2</v>
      </c>
      <c r="E283" s="171">
        <v>45017</v>
      </c>
      <c r="F283" s="225" t="s">
        <v>1175</v>
      </c>
      <c r="G283" s="253">
        <v>6541070</v>
      </c>
      <c r="H283" s="263"/>
      <c r="I283" s="263" t="s">
        <v>1231</v>
      </c>
    </row>
    <row r="284" spans="2:9" ht="15.75" customHeight="1">
      <c r="B284" s="263">
        <v>1033</v>
      </c>
      <c r="C284" s="263" t="s">
        <v>1496</v>
      </c>
      <c r="D284" s="263">
        <v>2</v>
      </c>
      <c r="E284" s="171">
        <v>44172</v>
      </c>
      <c r="F284" s="225" t="s">
        <v>1175</v>
      </c>
      <c r="G284" s="253">
        <v>17266610</v>
      </c>
      <c r="H284" s="263"/>
      <c r="I284" s="263" t="s">
        <v>1231</v>
      </c>
    </row>
    <row r="285" spans="2:9" ht="15.75" customHeight="1">
      <c r="B285" s="263">
        <v>1034</v>
      </c>
      <c r="C285" s="263" t="s">
        <v>1497</v>
      </c>
      <c r="D285" s="263">
        <v>2</v>
      </c>
      <c r="E285" s="171">
        <v>44428</v>
      </c>
      <c r="F285" s="225" t="s">
        <v>1175</v>
      </c>
      <c r="G285" s="253">
        <v>10404480</v>
      </c>
      <c r="H285" s="263"/>
      <c r="I285" s="263" t="s">
        <v>1231</v>
      </c>
    </row>
    <row r="286" spans="2:9" ht="15.75" customHeight="1">
      <c r="B286" s="263">
        <v>1035</v>
      </c>
      <c r="C286" s="263" t="s">
        <v>1498</v>
      </c>
      <c r="D286" s="263">
        <v>2</v>
      </c>
      <c r="E286" s="171">
        <v>44326</v>
      </c>
      <c r="F286" s="225" t="s">
        <v>1175</v>
      </c>
      <c r="G286" s="253">
        <v>14511250</v>
      </c>
      <c r="H286" s="263"/>
      <c r="I286" s="263" t="s">
        <v>1231</v>
      </c>
    </row>
    <row r="287" spans="2:9" ht="15.75" customHeight="1">
      <c r="B287" s="263">
        <v>1036</v>
      </c>
      <c r="C287" s="263" t="s">
        <v>1499</v>
      </c>
      <c r="D287" s="263">
        <v>2</v>
      </c>
      <c r="E287" s="171">
        <v>44824</v>
      </c>
      <c r="F287" s="225" t="s">
        <v>1175</v>
      </c>
      <c r="G287" s="253">
        <v>8302740</v>
      </c>
      <c r="H287" s="263"/>
      <c r="I287" s="263" t="s">
        <v>1231</v>
      </c>
    </row>
    <row r="288" spans="2:9" ht="15.75" customHeight="1">
      <c r="B288" s="263">
        <v>1037</v>
      </c>
      <c r="C288" s="263" t="s">
        <v>1500</v>
      </c>
      <c r="D288" s="263">
        <v>2</v>
      </c>
      <c r="E288" s="171">
        <v>45180</v>
      </c>
      <c r="F288" s="225" t="s">
        <v>1175</v>
      </c>
      <c r="G288" s="253">
        <v>4981010</v>
      </c>
      <c r="H288" s="263"/>
      <c r="I288" s="263" t="s">
        <v>1231</v>
      </c>
    </row>
    <row r="289" spans="2:9" ht="15.75" customHeight="1">
      <c r="B289" s="263">
        <v>1038</v>
      </c>
      <c r="C289" s="263" t="s">
        <v>1501</v>
      </c>
      <c r="D289" s="263">
        <v>2</v>
      </c>
      <c r="E289" s="171">
        <v>44165</v>
      </c>
      <c r="F289" s="225" t="s">
        <v>1175</v>
      </c>
      <c r="G289" s="253">
        <v>19379950</v>
      </c>
      <c r="H289" s="263"/>
      <c r="I289" s="263" t="s">
        <v>1231</v>
      </c>
    </row>
    <row r="290" spans="2:9" ht="15.75" customHeight="1">
      <c r="B290" s="263">
        <v>1039</v>
      </c>
      <c r="C290" s="263" t="s">
        <v>1502</v>
      </c>
      <c r="D290" s="263">
        <v>2</v>
      </c>
      <c r="E290" s="171">
        <v>44481</v>
      </c>
      <c r="F290" s="225" t="s">
        <v>1175</v>
      </c>
      <c r="G290" s="253">
        <v>11464940</v>
      </c>
      <c r="H290" s="263"/>
      <c r="I290" s="263" t="s">
        <v>1231</v>
      </c>
    </row>
    <row r="291" spans="2:9" ht="15.75" customHeight="1">
      <c r="B291" s="263">
        <v>1040</v>
      </c>
      <c r="C291" s="263" t="s">
        <v>1503</v>
      </c>
      <c r="D291" s="263">
        <v>2</v>
      </c>
      <c r="E291" s="171">
        <v>45062</v>
      </c>
      <c r="F291" s="225" t="s">
        <v>1175</v>
      </c>
      <c r="G291" s="253">
        <v>6491460</v>
      </c>
      <c r="H291" s="263"/>
      <c r="I291" s="263" t="s">
        <v>1231</v>
      </c>
    </row>
    <row r="292" spans="2:9" ht="15.75" customHeight="1">
      <c r="B292" s="263">
        <v>1041</v>
      </c>
      <c r="C292" s="263" t="s">
        <v>1504</v>
      </c>
      <c r="D292" s="263">
        <v>2</v>
      </c>
      <c r="E292" s="171">
        <v>45414</v>
      </c>
      <c r="F292" s="225" t="s">
        <v>1175</v>
      </c>
      <c r="G292" s="253">
        <v>3072010</v>
      </c>
      <c r="H292" s="263"/>
      <c r="I292" s="263" t="s">
        <v>1231</v>
      </c>
    </row>
    <row r="293" spans="2:9" ht="15.75" customHeight="1">
      <c r="B293" s="263">
        <v>1042</v>
      </c>
      <c r="C293" s="263" t="s">
        <v>1505</v>
      </c>
      <c r="D293" s="263">
        <v>2</v>
      </c>
      <c r="E293" s="171">
        <v>44305</v>
      </c>
      <c r="F293" s="225" t="s">
        <v>1175</v>
      </c>
      <c r="G293" s="253">
        <v>19045830</v>
      </c>
      <c r="H293" s="263"/>
      <c r="I293" s="263" t="s">
        <v>1231</v>
      </c>
    </row>
    <row r="294" spans="2:9" ht="15.75" customHeight="1">
      <c r="B294" s="263">
        <v>1043</v>
      </c>
      <c r="C294" s="263" t="s">
        <v>1506</v>
      </c>
      <c r="D294" s="263">
        <v>2</v>
      </c>
      <c r="E294" s="171">
        <v>44543</v>
      </c>
      <c r="F294" s="225" t="s">
        <v>1175</v>
      </c>
      <c r="G294" s="253">
        <v>9957400</v>
      </c>
      <c r="H294" s="263"/>
      <c r="I294" s="263" t="s">
        <v>1231</v>
      </c>
    </row>
    <row r="295" spans="2:9" ht="15.75" customHeight="1">
      <c r="B295" s="263">
        <v>1044</v>
      </c>
      <c r="C295" s="263" t="s">
        <v>1126</v>
      </c>
      <c r="D295" s="263">
        <v>2</v>
      </c>
      <c r="E295" s="171">
        <v>44348</v>
      </c>
      <c r="F295" s="225" t="s">
        <v>1175</v>
      </c>
      <c r="G295" s="253">
        <v>16443590</v>
      </c>
      <c r="H295" s="263"/>
      <c r="I295" s="263" t="s">
        <v>1231</v>
      </c>
    </row>
    <row r="296" spans="2:9" ht="15.75" customHeight="1">
      <c r="B296" s="263">
        <v>1045</v>
      </c>
      <c r="C296" s="263" t="s">
        <v>1507</v>
      </c>
      <c r="D296" s="263">
        <v>2</v>
      </c>
      <c r="E296" s="171">
        <v>44594</v>
      </c>
      <c r="F296" s="225" t="s">
        <v>1175</v>
      </c>
      <c r="G296" s="253">
        <v>13194050</v>
      </c>
      <c r="H296" s="263"/>
      <c r="I296" s="263" t="s">
        <v>1231</v>
      </c>
    </row>
    <row r="297" spans="2:9" ht="15.75" customHeight="1">
      <c r="B297" s="263">
        <v>1046</v>
      </c>
      <c r="C297" s="263" t="s">
        <v>1508</v>
      </c>
      <c r="D297" s="263">
        <v>2</v>
      </c>
      <c r="E297" s="171">
        <v>44652</v>
      </c>
      <c r="F297" s="225" t="s">
        <v>1175</v>
      </c>
      <c r="G297" s="253">
        <v>10440500</v>
      </c>
      <c r="H297" s="263"/>
      <c r="I297" s="263" t="s">
        <v>1231</v>
      </c>
    </row>
    <row r="298" spans="2:9" ht="15.75" customHeight="1">
      <c r="B298" s="263">
        <v>1047</v>
      </c>
      <c r="C298" s="263" t="s">
        <v>1509</v>
      </c>
      <c r="D298" s="263">
        <v>2</v>
      </c>
      <c r="E298" s="171">
        <v>44819</v>
      </c>
      <c r="F298" s="225" t="s">
        <v>1175</v>
      </c>
      <c r="G298" s="253">
        <v>10419830</v>
      </c>
      <c r="H298" s="263"/>
      <c r="I298" s="263" t="s">
        <v>1231</v>
      </c>
    </row>
    <row r="299" spans="2:9" ht="15.75" customHeight="1">
      <c r="B299" s="263">
        <v>1048</v>
      </c>
      <c r="C299" s="263" t="s">
        <v>1510</v>
      </c>
      <c r="D299" s="263">
        <v>2</v>
      </c>
      <c r="E299" s="171">
        <v>44172</v>
      </c>
      <c r="F299" s="225" t="s">
        <v>1175</v>
      </c>
      <c r="G299" s="253">
        <v>13390420</v>
      </c>
      <c r="H299" s="263"/>
      <c r="I299" s="263" t="s">
        <v>1231</v>
      </c>
    </row>
    <row r="300" spans="2:9" ht="15.75" customHeight="1">
      <c r="B300" s="263">
        <v>1049</v>
      </c>
      <c r="C300" s="263" t="s">
        <v>1511</v>
      </c>
      <c r="D300" s="263">
        <v>1</v>
      </c>
      <c r="E300" s="171">
        <v>44151</v>
      </c>
      <c r="F300" s="225" t="s">
        <v>1175</v>
      </c>
      <c r="G300" s="253">
        <v>19891940</v>
      </c>
      <c r="H300" s="263"/>
      <c r="I300" s="263" t="s">
        <v>1231</v>
      </c>
    </row>
    <row r="301" spans="2:9" ht="15.75" customHeight="1">
      <c r="B301" s="263">
        <v>1050</v>
      </c>
      <c r="C301" s="263" t="s">
        <v>1512</v>
      </c>
      <c r="D301" s="263">
        <v>2</v>
      </c>
      <c r="E301" s="171">
        <v>44077</v>
      </c>
      <c r="F301" s="225" t="s">
        <v>1175</v>
      </c>
      <c r="G301" s="253">
        <v>14167510</v>
      </c>
      <c r="H301" s="263"/>
      <c r="I301" s="263" t="s">
        <v>1231</v>
      </c>
    </row>
    <row r="302" spans="2:9" ht="15.75" customHeight="1">
      <c r="B302" s="263">
        <v>1051</v>
      </c>
      <c r="C302" s="263" t="s">
        <v>1513</v>
      </c>
      <c r="D302" s="263">
        <v>2</v>
      </c>
      <c r="E302" s="171">
        <v>44504</v>
      </c>
      <c r="F302" s="225" t="s">
        <v>1175</v>
      </c>
      <c r="G302" s="253">
        <v>13274710</v>
      </c>
      <c r="H302" s="263"/>
      <c r="I302" s="263" t="s">
        <v>1231</v>
      </c>
    </row>
    <row r="303" spans="2:9" ht="15.75" customHeight="1">
      <c r="B303" s="263">
        <v>1052</v>
      </c>
      <c r="C303" s="263" t="s">
        <v>1514</v>
      </c>
      <c r="D303" s="263">
        <v>2</v>
      </c>
      <c r="E303" s="171">
        <v>44481</v>
      </c>
      <c r="F303" s="225" t="s">
        <v>1175</v>
      </c>
      <c r="G303" s="253">
        <v>14054810</v>
      </c>
      <c r="H303" s="263"/>
      <c r="I303" s="263" t="s">
        <v>1231</v>
      </c>
    </row>
    <row r="304" spans="2:9" ht="15.75" customHeight="1">
      <c r="B304" s="263">
        <v>1053</v>
      </c>
      <c r="C304" s="263" t="s">
        <v>1515</v>
      </c>
      <c r="D304" s="263">
        <v>1</v>
      </c>
      <c r="E304" s="171">
        <v>45108</v>
      </c>
      <c r="F304" s="225" t="s">
        <v>1175</v>
      </c>
      <c r="G304" s="253">
        <v>7958170</v>
      </c>
      <c r="H304" s="263"/>
      <c r="I304" s="263" t="s">
        <v>1231</v>
      </c>
    </row>
    <row r="305" spans="2:9" ht="15.75" customHeight="1">
      <c r="B305" s="263">
        <v>1054</v>
      </c>
      <c r="C305" s="263" t="s">
        <v>1516</v>
      </c>
      <c r="D305" s="263">
        <v>2</v>
      </c>
      <c r="E305" s="171">
        <v>45110</v>
      </c>
      <c r="F305" s="225" t="s">
        <v>1175</v>
      </c>
      <c r="G305" s="253">
        <v>5233520</v>
      </c>
      <c r="H305" s="263"/>
      <c r="I305" s="263" t="s">
        <v>1231</v>
      </c>
    </row>
    <row r="306" spans="2:9" ht="15.75" customHeight="1">
      <c r="B306" s="263">
        <v>1055</v>
      </c>
      <c r="C306" s="263" t="s">
        <v>1517</v>
      </c>
      <c r="D306" s="263">
        <v>2</v>
      </c>
      <c r="E306" s="171">
        <v>45040</v>
      </c>
      <c r="F306" s="225" t="s">
        <v>1175</v>
      </c>
      <c r="G306" s="253">
        <v>9232250</v>
      </c>
      <c r="H306" s="263"/>
      <c r="I306" s="263" t="s">
        <v>1231</v>
      </c>
    </row>
    <row r="307" spans="2:9" ht="15.75" customHeight="1">
      <c r="B307" s="263">
        <v>1056</v>
      </c>
      <c r="C307" s="263" t="s">
        <v>1518</v>
      </c>
      <c r="D307" s="263">
        <v>1</v>
      </c>
      <c r="E307" s="171">
        <v>43976</v>
      </c>
      <c r="F307" s="225" t="s">
        <v>1175</v>
      </c>
      <c r="G307" s="253">
        <v>18203940</v>
      </c>
      <c r="H307" s="263"/>
      <c r="I307" s="263" t="s">
        <v>1231</v>
      </c>
    </row>
    <row r="308" spans="2:9" ht="15.75" customHeight="1">
      <c r="B308" s="263">
        <v>1057</v>
      </c>
      <c r="C308" s="263" t="s">
        <v>933</v>
      </c>
      <c r="D308" s="263">
        <v>1</v>
      </c>
      <c r="E308" s="171">
        <v>44795</v>
      </c>
      <c r="F308" s="225" t="s">
        <v>1175</v>
      </c>
      <c r="G308" s="253">
        <v>7632920</v>
      </c>
      <c r="H308" s="263"/>
      <c r="I308" s="263" t="s">
        <v>1231</v>
      </c>
    </row>
    <row r="309" spans="2:9" ht="15.75" customHeight="1">
      <c r="B309" s="263">
        <v>1058</v>
      </c>
      <c r="C309" s="263" t="s">
        <v>1519</v>
      </c>
      <c r="D309" s="263">
        <v>1</v>
      </c>
      <c r="E309" s="171">
        <v>44494</v>
      </c>
      <c r="F309" s="225" t="s">
        <v>1177</v>
      </c>
      <c r="G309" s="253">
        <v>25627850</v>
      </c>
      <c r="H309" s="263"/>
      <c r="I309" s="263" t="s">
        <v>1231</v>
      </c>
    </row>
    <row r="310" spans="2:9" ht="15.75" customHeight="1">
      <c r="B310" s="263">
        <v>1059</v>
      </c>
      <c r="C310" s="263" t="s">
        <v>1520</v>
      </c>
      <c r="D310" s="263">
        <v>2</v>
      </c>
      <c r="E310" s="171">
        <v>44746</v>
      </c>
      <c r="F310" s="225" t="s">
        <v>1177</v>
      </c>
      <c r="G310" s="253">
        <v>30788040</v>
      </c>
      <c r="H310" s="263"/>
      <c r="I310" s="263" t="s">
        <v>1231</v>
      </c>
    </row>
    <row r="311" spans="2:9" ht="15.75" customHeight="1">
      <c r="B311" s="263">
        <v>1060</v>
      </c>
      <c r="C311" s="263" t="s">
        <v>1521</v>
      </c>
      <c r="D311" s="263">
        <v>2</v>
      </c>
      <c r="E311" s="171">
        <v>43838</v>
      </c>
      <c r="F311" s="225" t="s">
        <v>1178</v>
      </c>
      <c r="G311" s="253">
        <v>27552500</v>
      </c>
      <c r="H311" s="263"/>
      <c r="I311" s="263" t="s">
        <v>1231</v>
      </c>
    </row>
    <row r="312" spans="2:9" ht="15.75" customHeight="1">
      <c r="B312" s="263">
        <v>1061</v>
      </c>
      <c r="C312" s="263" t="s">
        <v>1522</v>
      </c>
      <c r="D312" s="263">
        <v>2</v>
      </c>
      <c r="E312" s="171">
        <v>44743</v>
      </c>
      <c r="F312" s="225" t="s">
        <v>1178</v>
      </c>
      <c r="G312" s="253">
        <v>3614100</v>
      </c>
      <c r="H312" s="263"/>
      <c r="I312" s="263" t="s">
        <v>1231</v>
      </c>
    </row>
    <row r="313" spans="2:9" ht="15.75" customHeight="1">
      <c r="B313" s="263">
        <v>1062</v>
      </c>
      <c r="C313" s="263" t="s">
        <v>1523</v>
      </c>
      <c r="D313" s="263">
        <v>1</v>
      </c>
      <c r="E313" s="171">
        <v>44951</v>
      </c>
      <c r="F313" s="225" t="s">
        <v>1178</v>
      </c>
      <c r="G313" s="253">
        <v>11185200</v>
      </c>
      <c r="H313" s="263"/>
      <c r="I313" s="263" t="s">
        <v>1231</v>
      </c>
    </row>
    <row r="314" spans="2:9" ht="15.75" customHeight="1">
      <c r="B314" s="263">
        <v>1063</v>
      </c>
      <c r="C314" s="263" t="s">
        <v>1524</v>
      </c>
      <c r="D314" s="263">
        <v>1</v>
      </c>
      <c r="E314" s="171">
        <v>45474</v>
      </c>
      <c r="F314" s="225" t="s">
        <v>1178</v>
      </c>
      <c r="G314" s="253">
        <v>4277200</v>
      </c>
      <c r="H314" s="263"/>
      <c r="I314" s="263" t="s">
        <v>1231</v>
      </c>
    </row>
    <row r="315" spans="2:9" ht="15.75" customHeight="1">
      <c r="B315" s="263">
        <v>1064</v>
      </c>
      <c r="C315" s="263" t="s">
        <v>1525</v>
      </c>
      <c r="D315" s="263">
        <v>2</v>
      </c>
      <c r="E315" s="171">
        <v>44166</v>
      </c>
      <c r="F315" s="225" t="s">
        <v>1178</v>
      </c>
      <c r="G315" s="253">
        <v>5516780</v>
      </c>
      <c r="H315" s="263"/>
      <c r="I315" s="263" t="s">
        <v>1231</v>
      </c>
    </row>
    <row r="316" spans="2:9" ht="15.75" customHeight="1">
      <c r="B316" s="263">
        <v>1065</v>
      </c>
      <c r="C316" s="263" t="s">
        <v>1526</v>
      </c>
      <c r="D316" s="263">
        <v>1</v>
      </c>
      <c r="E316" s="171">
        <v>44166</v>
      </c>
      <c r="F316" s="225" t="s">
        <v>1178</v>
      </c>
      <c r="G316" s="253">
        <v>5516780</v>
      </c>
      <c r="H316" s="263"/>
      <c r="I316" s="263" t="s">
        <v>1231</v>
      </c>
    </row>
    <row r="317" spans="2:9" ht="15.75" customHeight="1">
      <c r="B317" s="263">
        <v>1066</v>
      </c>
      <c r="C317" s="263" t="s">
        <v>1527</v>
      </c>
      <c r="D317" s="263">
        <v>1</v>
      </c>
      <c r="E317" s="171">
        <v>44409</v>
      </c>
      <c r="F317" s="225" t="s">
        <v>1178</v>
      </c>
      <c r="G317" s="253">
        <v>4715480</v>
      </c>
      <c r="H317" s="263"/>
      <c r="I317" s="263" t="s">
        <v>1231</v>
      </c>
    </row>
    <row r="318" spans="2:9" ht="15.75" customHeight="1">
      <c r="B318" s="263">
        <v>1067</v>
      </c>
      <c r="C318" s="263" t="s">
        <v>1528</v>
      </c>
      <c r="D318" s="263">
        <v>2</v>
      </c>
      <c r="E318" s="171">
        <v>44197</v>
      </c>
      <c r="F318" s="225" t="s">
        <v>1178</v>
      </c>
      <c r="G318" s="253">
        <v>5414560</v>
      </c>
      <c r="H318" s="263"/>
      <c r="I318" s="263" t="s">
        <v>1231</v>
      </c>
    </row>
    <row r="319" spans="2:9" ht="15.75" customHeight="1">
      <c r="B319" s="263">
        <v>1068</v>
      </c>
      <c r="C319" s="263" t="s">
        <v>1529</v>
      </c>
      <c r="D319" s="263">
        <v>1</v>
      </c>
      <c r="E319" s="171">
        <v>44440</v>
      </c>
      <c r="F319" s="225" t="s">
        <v>1179</v>
      </c>
      <c r="G319" s="253">
        <v>17145730</v>
      </c>
      <c r="H319" s="263"/>
      <c r="I319" s="263" t="s">
        <v>1231</v>
      </c>
    </row>
    <row r="320" spans="2:9" ht="15.75" customHeight="1">
      <c r="B320" s="263">
        <v>1069</v>
      </c>
      <c r="C320" s="263" t="s">
        <v>827</v>
      </c>
      <c r="D320" s="263">
        <v>1</v>
      </c>
      <c r="E320" s="171">
        <v>45005</v>
      </c>
      <c r="F320" s="225" t="s">
        <v>1180</v>
      </c>
      <c r="G320" s="253">
        <v>10909260</v>
      </c>
      <c r="H320" s="263"/>
      <c r="I320" s="263" t="s">
        <v>1231</v>
      </c>
    </row>
    <row r="321" spans="2:9" ht="15.75" customHeight="1">
      <c r="B321" s="263">
        <v>1070</v>
      </c>
      <c r="C321" s="263" t="s">
        <v>1530</v>
      </c>
      <c r="D321" s="263">
        <v>1</v>
      </c>
      <c r="E321" s="171">
        <v>45180</v>
      </c>
      <c r="F321" s="225" t="s">
        <v>1180</v>
      </c>
      <c r="G321" s="253">
        <v>12490980</v>
      </c>
      <c r="H321" s="263"/>
      <c r="I321" s="263" t="s">
        <v>1231</v>
      </c>
    </row>
    <row r="322" spans="2:9" ht="15.75" customHeight="1">
      <c r="B322" s="263">
        <v>1071</v>
      </c>
      <c r="C322" s="263" t="s">
        <v>1531</v>
      </c>
      <c r="D322" s="263">
        <v>1</v>
      </c>
      <c r="E322" s="171">
        <v>44543</v>
      </c>
      <c r="F322" s="225" t="s">
        <v>1180</v>
      </c>
      <c r="G322" s="253">
        <v>14207610</v>
      </c>
      <c r="H322" s="263"/>
      <c r="I322" s="263" t="s">
        <v>1231</v>
      </c>
    </row>
    <row r="323" spans="2:9" ht="15.75" customHeight="1">
      <c r="B323" s="263">
        <v>1072</v>
      </c>
      <c r="C323" s="263" t="s">
        <v>1532</v>
      </c>
      <c r="D323" s="263">
        <v>2</v>
      </c>
      <c r="E323" s="171">
        <v>45076</v>
      </c>
      <c r="F323" s="225" t="s">
        <v>1178</v>
      </c>
      <c r="G323" s="253">
        <v>8841230</v>
      </c>
      <c r="H323" s="263"/>
      <c r="I323" s="263" t="s">
        <v>1231</v>
      </c>
    </row>
    <row r="324" spans="2:9" ht="15.75" customHeight="1">
      <c r="B324" s="263">
        <v>1073</v>
      </c>
      <c r="C324" s="263" t="s">
        <v>1533</v>
      </c>
      <c r="D324" s="263">
        <v>2</v>
      </c>
      <c r="E324" s="171">
        <v>44291</v>
      </c>
      <c r="F324" s="225" t="s">
        <v>1178</v>
      </c>
      <c r="G324" s="253">
        <v>7722790</v>
      </c>
      <c r="H324" s="263"/>
      <c r="I324" s="263" t="s">
        <v>1231</v>
      </c>
    </row>
    <row r="325" spans="2:9" ht="15.75" customHeight="1">
      <c r="B325" s="263">
        <v>1074</v>
      </c>
      <c r="C325" s="263" t="s">
        <v>1534</v>
      </c>
      <c r="D325" s="263">
        <v>2</v>
      </c>
      <c r="E325" s="171">
        <v>45014</v>
      </c>
      <c r="F325" s="225" t="s">
        <v>1178</v>
      </c>
      <c r="G325" s="253">
        <v>8629280</v>
      </c>
      <c r="H325" s="263"/>
      <c r="I325" s="263" t="s">
        <v>1231</v>
      </c>
    </row>
    <row r="326" spans="2:9" ht="15.75" customHeight="1">
      <c r="B326" s="263">
        <v>1075</v>
      </c>
      <c r="C326" s="263" t="s">
        <v>1535</v>
      </c>
      <c r="D326" s="263">
        <v>2</v>
      </c>
      <c r="E326" s="171">
        <v>44515</v>
      </c>
      <c r="F326" s="225" t="s">
        <v>1178</v>
      </c>
      <c r="G326" s="253">
        <v>13023500</v>
      </c>
      <c r="H326" s="263"/>
      <c r="I326" s="263" t="s">
        <v>1231</v>
      </c>
    </row>
    <row r="327" spans="2:9" ht="15.75" customHeight="1">
      <c r="B327" s="263">
        <v>1076</v>
      </c>
      <c r="C327" s="263" t="s">
        <v>1536</v>
      </c>
      <c r="D327" s="263">
        <v>2</v>
      </c>
      <c r="E327" s="171">
        <v>43955</v>
      </c>
      <c r="F327" s="225" t="s">
        <v>1178</v>
      </c>
      <c r="G327" s="253">
        <v>23661950</v>
      </c>
      <c r="H327" s="263"/>
      <c r="I327" s="263" t="s">
        <v>1231</v>
      </c>
    </row>
    <row r="328" spans="2:9" ht="15.75" customHeight="1">
      <c r="B328" s="263">
        <v>1077</v>
      </c>
      <c r="C328" s="263" t="s">
        <v>1537</v>
      </c>
      <c r="D328" s="263">
        <v>2</v>
      </c>
      <c r="E328" s="171">
        <v>44928</v>
      </c>
      <c r="F328" s="225" t="s">
        <v>1178</v>
      </c>
      <c r="G328" s="253">
        <v>8478350</v>
      </c>
      <c r="H328" s="263"/>
      <c r="I328" s="263" t="s">
        <v>1231</v>
      </c>
    </row>
    <row r="329" spans="2:9" ht="15.75" customHeight="1">
      <c r="B329" s="263">
        <v>1078</v>
      </c>
      <c r="C329" s="263" t="s">
        <v>726</v>
      </c>
      <c r="D329" s="263">
        <v>2</v>
      </c>
      <c r="E329" s="171">
        <v>44394</v>
      </c>
      <c r="F329" s="225" t="s">
        <v>1178</v>
      </c>
      <c r="G329" s="253">
        <v>13911390</v>
      </c>
      <c r="H329" s="263"/>
      <c r="I329" s="263" t="s">
        <v>1231</v>
      </c>
    </row>
    <row r="330" spans="2:9" ht="15.75" customHeight="1">
      <c r="B330" s="263">
        <v>1079</v>
      </c>
      <c r="C330" s="263" t="s">
        <v>1538</v>
      </c>
      <c r="D330" s="263">
        <v>2</v>
      </c>
      <c r="E330" s="171">
        <v>44545</v>
      </c>
      <c r="F330" s="225" t="s">
        <v>1178</v>
      </c>
      <c r="G330" s="253">
        <v>15492910</v>
      </c>
      <c r="H330" s="263"/>
      <c r="I330" s="263" t="s">
        <v>1231</v>
      </c>
    </row>
    <row r="331" spans="2:9" ht="15.75" customHeight="1">
      <c r="B331" s="263">
        <v>1080</v>
      </c>
      <c r="C331" s="263" t="s">
        <v>1539</v>
      </c>
      <c r="D331" s="263">
        <v>2</v>
      </c>
      <c r="E331" s="171">
        <v>44165</v>
      </c>
      <c r="F331" s="225" t="s">
        <v>1178</v>
      </c>
      <c r="G331" s="253">
        <v>16017570</v>
      </c>
      <c r="H331" s="263"/>
      <c r="I331" s="263" t="s">
        <v>1231</v>
      </c>
    </row>
    <row r="332" spans="2:9" ht="15.75" customHeight="1">
      <c r="B332" s="263">
        <v>1081</v>
      </c>
      <c r="C332" s="263" t="s">
        <v>1540</v>
      </c>
      <c r="D332" s="263">
        <v>2</v>
      </c>
      <c r="E332" s="171">
        <v>44754</v>
      </c>
      <c r="F332" s="225" t="s">
        <v>1178</v>
      </c>
      <c r="G332" s="253">
        <v>10479190</v>
      </c>
      <c r="H332" s="263"/>
      <c r="I332" s="263" t="s">
        <v>1231</v>
      </c>
    </row>
    <row r="333" spans="2:9" ht="15.75" customHeight="1">
      <c r="B333" s="263">
        <v>1082</v>
      </c>
      <c r="C333" s="263" t="s">
        <v>1541</v>
      </c>
      <c r="D333" s="263">
        <v>2</v>
      </c>
      <c r="E333" s="171">
        <v>44602</v>
      </c>
      <c r="F333" s="225" t="s">
        <v>1178</v>
      </c>
      <c r="G333" s="253">
        <v>12214760</v>
      </c>
      <c r="H333" s="263"/>
      <c r="I333" s="263" t="s">
        <v>1231</v>
      </c>
    </row>
    <row r="334" spans="2:9" ht="15.75" customHeight="1">
      <c r="B334" s="263">
        <v>1083</v>
      </c>
      <c r="C334" s="263" t="s">
        <v>1542</v>
      </c>
      <c r="D334" s="263">
        <v>2</v>
      </c>
      <c r="E334" s="171">
        <v>44866</v>
      </c>
      <c r="F334" s="225" t="s">
        <v>1178</v>
      </c>
      <c r="G334" s="253">
        <v>10965120</v>
      </c>
      <c r="H334" s="263"/>
      <c r="I334" s="263" t="s">
        <v>1231</v>
      </c>
    </row>
    <row r="335" spans="2:9" ht="15.75" customHeight="1">
      <c r="B335" s="263">
        <v>1084</v>
      </c>
      <c r="C335" s="263" t="s">
        <v>1543</v>
      </c>
      <c r="D335" s="263">
        <v>2</v>
      </c>
      <c r="E335" s="171">
        <v>44487</v>
      </c>
      <c r="F335" s="225" t="s">
        <v>1178</v>
      </c>
      <c r="G335" s="253">
        <v>11897630</v>
      </c>
      <c r="H335" s="263"/>
      <c r="I335" s="263" t="s">
        <v>1231</v>
      </c>
    </row>
    <row r="336" spans="2:9" ht="15.75" customHeight="1">
      <c r="B336" s="263">
        <v>1085</v>
      </c>
      <c r="C336" s="263" t="s">
        <v>1544</v>
      </c>
      <c r="D336" s="263">
        <v>2</v>
      </c>
      <c r="E336" s="171">
        <v>44762</v>
      </c>
      <c r="F336" s="225" t="s">
        <v>1178</v>
      </c>
      <c r="G336" s="253">
        <v>11409710</v>
      </c>
      <c r="H336" s="263"/>
      <c r="I336" s="263" t="s">
        <v>1231</v>
      </c>
    </row>
    <row r="337" spans="2:9" ht="15.75" customHeight="1">
      <c r="B337" s="263">
        <v>1086</v>
      </c>
      <c r="C337" s="263" t="s">
        <v>1545</v>
      </c>
      <c r="D337" s="263">
        <v>2</v>
      </c>
      <c r="E337" s="171">
        <v>45406</v>
      </c>
      <c r="F337" s="225" t="s">
        <v>1178</v>
      </c>
      <c r="G337" s="253">
        <v>3682510</v>
      </c>
      <c r="H337" s="263"/>
      <c r="I337" s="263" t="s">
        <v>1231</v>
      </c>
    </row>
    <row r="338" spans="2:9" ht="15.75" customHeight="1">
      <c r="B338" s="263">
        <v>1087</v>
      </c>
      <c r="C338" s="263" t="s">
        <v>1546</v>
      </c>
      <c r="D338" s="263">
        <v>2</v>
      </c>
      <c r="E338" s="171">
        <v>45461</v>
      </c>
      <c r="F338" s="225" t="s">
        <v>1178</v>
      </c>
      <c r="G338" s="253">
        <v>5611200</v>
      </c>
      <c r="H338" s="263"/>
      <c r="I338" s="263" t="s">
        <v>1231</v>
      </c>
    </row>
    <row r="339" spans="2:9" ht="15.75" customHeight="1">
      <c r="B339" s="263">
        <v>1088</v>
      </c>
      <c r="C339" s="263" t="s">
        <v>1547</v>
      </c>
      <c r="D339" s="263">
        <v>2</v>
      </c>
      <c r="E339" s="171">
        <v>45526</v>
      </c>
      <c r="F339" s="225" t="s">
        <v>1178</v>
      </c>
      <c r="G339" s="253">
        <v>5261960</v>
      </c>
      <c r="H339" s="263"/>
      <c r="I339" s="263" t="s">
        <v>1231</v>
      </c>
    </row>
    <row r="340" spans="2:9" ht="15.75" customHeight="1">
      <c r="B340" s="263">
        <v>1089</v>
      </c>
      <c r="C340" s="263" t="s">
        <v>1548</v>
      </c>
      <c r="D340" s="263">
        <v>2</v>
      </c>
      <c r="E340" s="171">
        <v>43654</v>
      </c>
      <c r="F340" s="225" t="s">
        <v>1178</v>
      </c>
      <c r="G340" s="253">
        <v>17185560</v>
      </c>
      <c r="H340" s="263"/>
      <c r="I340" s="263" t="s">
        <v>1231</v>
      </c>
    </row>
    <row r="341" spans="2:9" ht="15.75" customHeight="1">
      <c r="B341" s="263">
        <v>1090</v>
      </c>
      <c r="C341" s="263" t="s">
        <v>1549</v>
      </c>
      <c r="D341" s="263">
        <v>2</v>
      </c>
      <c r="E341" s="171">
        <v>44470</v>
      </c>
      <c r="F341" s="225" t="s">
        <v>1178</v>
      </c>
      <c r="G341" s="253">
        <v>18403960</v>
      </c>
      <c r="H341" s="263"/>
      <c r="I341" s="263" t="s">
        <v>1231</v>
      </c>
    </row>
    <row r="342" spans="2:9" ht="15.75" customHeight="1">
      <c r="B342" s="263">
        <v>1091</v>
      </c>
      <c r="C342" s="263" t="s">
        <v>1550</v>
      </c>
      <c r="D342" s="263">
        <v>2</v>
      </c>
      <c r="E342" s="171">
        <v>44600</v>
      </c>
      <c r="F342" s="225" t="s">
        <v>1178</v>
      </c>
      <c r="G342" s="253">
        <v>13809580</v>
      </c>
      <c r="H342" s="263"/>
      <c r="I342" s="263" t="s">
        <v>1231</v>
      </c>
    </row>
    <row r="343" spans="2:9" ht="15.75" customHeight="1">
      <c r="B343" s="263">
        <v>1092</v>
      </c>
      <c r="C343" s="263" t="s">
        <v>893</v>
      </c>
      <c r="D343" s="263">
        <v>2</v>
      </c>
      <c r="E343" s="171">
        <v>44991</v>
      </c>
      <c r="F343" s="225" t="s">
        <v>1178</v>
      </c>
      <c r="G343" s="253">
        <v>7719240</v>
      </c>
      <c r="H343" s="263"/>
      <c r="I343" s="263" t="s">
        <v>1231</v>
      </c>
    </row>
    <row r="344" spans="2:9" ht="15.75" customHeight="1">
      <c r="B344" s="263">
        <v>1093</v>
      </c>
      <c r="C344" s="263" t="s">
        <v>1551</v>
      </c>
      <c r="D344" s="263">
        <v>2</v>
      </c>
      <c r="E344" s="171">
        <v>45578</v>
      </c>
      <c r="F344" s="225" t="s">
        <v>1178</v>
      </c>
      <c r="G344" s="253">
        <v>4385720</v>
      </c>
      <c r="H344" s="263"/>
      <c r="I344" s="263" t="s">
        <v>1231</v>
      </c>
    </row>
    <row r="345" spans="2:9" ht="15.75" customHeight="1">
      <c r="B345" s="263">
        <v>1094</v>
      </c>
      <c r="C345" s="263" t="s">
        <v>1443</v>
      </c>
      <c r="D345" s="263">
        <v>2</v>
      </c>
      <c r="E345" s="171">
        <v>45729</v>
      </c>
      <c r="F345" s="225" t="s">
        <v>1178</v>
      </c>
      <c r="G345" s="253">
        <v>2600000</v>
      </c>
      <c r="H345" s="263"/>
      <c r="I345" s="263" t="s">
        <v>1231</v>
      </c>
    </row>
    <row r="346" spans="2:9" ht="15.75" customHeight="1">
      <c r="B346" s="263">
        <v>1095</v>
      </c>
      <c r="C346" s="263" t="s">
        <v>1552</v>
      </c>
      <c r="D346" s="263">
        <v>2</v>
      </c>
      <c r="E346" s="171">
        <v>45740</v>
      </c>
      <c r="F346" s="225" t="s">
        <v>1178</v>
      </c>
      <c r="G346" s="253">
        <v>2400000</v>
      </c>
      <c r="H346" s="263"/>
      <c r="I346" s="263" t="s">
        <v>1231</v>
      </c>
    </row>
    <row r="347" spans="2:9" ht="15.75" customHeight="1">
      <c r="B347" s="263">
        <v>1096</v>
      </c>
      <c r="C347" s="263" t="s">
        <v>1553</v>
      </c>
      <c r="D347" s="263">
        <v>2</v>
      </c>
      <c r="E347" s="171">
        <v>44249</v>
      </c>
      <c r="F347" s="225" t="s">
        <v>1181</v>
      </c>
      <c r="G347" s="253">
        <v>14851550</v>
      </c>
      <c r="H347" s="263"/>
      <c r="I347" s="263" t="s">
        <v>1231</v>
      </c>
    </row>
    <row r="348" spans="2:9" ht="15.75" customHeight="1">
      <c r="B348" s="263">
        <v>1097</v>
      </c>
      <c r="C348" s="263" t="s">
        <v>1554</v>
      </c>
      <c r="D348" s="263">
        <v>1</v>
      </c>
      <c r="E348" s="171">
        <v>44823</v>
      </c>
      <c r="F348" s="225" t="s">
        <v>1182</v>
      </c>
      <c r="G348" s="253">
        <v>12843150</v>
      </c>
      <c r="H348" s="263"/>
      <c r="I348" s="263" t="s">
        <v>1231</v>
      </c>
    </row>
    <row r="349" spans="2:9" ht="15.75" customHeight="1">
      <c r="B349" s="263">
        <v>1098</v>
      </c>
      <c r="C349" s="263" t="s">
        <v>1555</v>
      </c>
      <c r="D349" s="263">
        <v>2</v>
      </c>
      <c r="E349" s="171">
        <v>44823</v>
      </c>
      <c r="F349" s="225" t="s">
        <v>1182</v>
      </c>
      <c r="G349" s="253">
        <v>10357380</v>
      </c>
      <c r="H349" s="263"/>
      <c r="I349" s="263" t="s">
        <v>1231</v>
      </c>
    </row>
    <row r="350" spans="2:9" ht="15.75" customHeight="1">
      <c r="B350" s="263">
        <v>1099</v>
      </c>
      <c r="C350" s="263" t="s">
        <v>1556</v>
      </c>
      <c r="D350" s="263">
        <v>1</v>
      </c>
      <c r="E350" s="171">
        <v>45460</v>
      </c>
      <c r="F350" s="225" t="s">
        <v>1183</v>
      </c>
      <c r="G350" s="253">
        <v>3838220</v>
      </c>
      <c r="H350" s="263"/>
      <c r="I350" s="263" t="s">
        <v>1231</v>
      </c>
    </row>
    <row r="351" spans="2:9" ht="15.75" customHeight="1">
      <c r="B351" s="263">
        <v>1100</v>
      </c>
      <c r="C351" s="263" t="s">
        <v>1557</v>
      </c>
      <c r="D351" s="263">
        <v>2</v>
      </c>
      <c r="E351" s="171">
        <v>41162</v>
      </c>
      <c r="F351" s="225" t="s">
        <v>1184</v>
      </c>
      <c r="G351" s="253">
        <v>78988480</v>
      </c>
      <c r="H351" s="263"/>
      <c r="I351" s="263" t="s">
        <v>1231</v>
      </c>
    </row>
    <row r="352" spans="2:9" ht="15.75" customHeight="1">
      <c r="B352" s="263">
        <v>1101</v>
      </c>
      <c r="C352" s="263" t="s">
        <v>1558</v>
      </c>
      <c r="D352" s="263">
        <v>2</v>
      </c>
      <c r="E352" s="171">
        <v>43689</v>
      </c>
      <c r="F352" s="225" t="s">
        <v>1185</v>
      </c>
      <c r="G352" s="253">
        <v>22209020</v>
      </c>
      <c r="H352" s="263"/>
      <c r="I352" s="263" t="s">
        <v>1231</v>
      </c>
    </row>
    <row r="353" spans="2:9" ht="15.75" customHeight="1">
      <c r="B353" s="263">
        <v>1102</v>
      </c>
      <c r="C353" s="263" t="s">
        <v>1559</v>
      </c>
      <c r="D353" s="263">
        <v>1</v>
      </c>
      <c r="E353" s="171">
        <v>44543</v>
      </c>
      <c r="F353" s="225" t="s">
        <v>1185</v>
      </c>
      <c r="G353" s="253">
        <v>24720860</v>
      </c>
      <c r="H353" s="263"/>
      <c r="I353" s="263" t="s">
        <v>1231</v>
      </c>
    </row>
    <row r="354" spans="2:9" ht="15.75" customHeight="1">
      <c r="B354" s="263">
        <v>1103</v>
      </c>
      <c r="C354" s="263" t="s">
        <v>1560</v>
      </c>
      <c r="D354" s="263">
        <v>1</v>
      </c>
      <c r="E354" s="171">
        <v>44931</v>
      </c>
      <c r="F354" s="225" t="s">
        <v>1185</v>
      </c>
      <c r="G354" s="253">
        <v>14884830</v>
      </c>
      <c r="H354" s="263"/>
      <c r="I354" s="263" t="s">
        <v>1231</v>
      </c>
    </row>
    <row r="355" spans="2:9" ht="15.75" customHeight="1">
      <c r="B355" s="263">
        <v>1104</v>
      </c>
      <c r="C355" s="263" t="s">
        <v>1561</v>
      </c>
      <c r="D355" s="263">
        <v>1</v>
      </c>
      <c r="E355" s="171">
        <v>45439</v>
      </c>
      <c r="F355" s="225" t="s">
        <v>1185</v>
      </c>
      <c r="G355" s="253">
        <v>5432420</v>
      </c>
      <c r="H355" s="263"/>
      <c r="I355" s="263" t="s">
        <v>1231</v>
      </c>
    </row>
    <row r="356" spans="2:9" ht="15.75" customHeight="1">
      <c r="B356" s="263">
        <v>1105</v>
      </c>
      <c r="C356" s="263" t="s">
        <v>1562</v>
      </c>
      <c r="D356" s="263">
        <v>2</v>
      </c>
      <c r="E356" s="171">
        <v>44318</v>
      </c>
      <c r="F356" s="225" t="s">
        <v>1186</v>
      </c>
      <c r="G356" s="253">
        <v>12270460</v>
      </c>
      <c r="H356" s="263"/>
      <c r="I356" s="263" t="s">
        <v>1231</v>
      </c>
    </row>
    <row r="357" spans="2:9" ht="15.75" customHeight="1">
      <c r="B357" s="263">
        <v>1106</v>
      </c>
      <c r="C357" s="263" t="s">
        <v>794</v>
      </c>
      <c r="D357" s="263">
        <v>2</v>
      </c>
      <c r="E357" s="171">
        <v>45033</v>
      </c>
      <c r="F357" s="225" t="s">
        <v>1187</v>
      </c>
      <c r="G357" s="253">
        <v>6546080</v>
      </c>
      <c r="H357" s="263"/>
      <c r="I357" s="263" t="s">
        <v>1231</v>
      </c>
    </row>
    <row r="358" spans="2:9" ht="15.75" customHeight="1">
      <c r="B358" s="263">
        <v>1107</v>
      </c>
      <c r="C358" s="263" t="s">
        <v>1563</v>
      </c>
      <c r="D358" s="263">
        <v>1</v>
      </c>
      <c r="E358" s="171">
        <v>45453</v>
      </c>
      <c r="F358" s="225" t="s">
        <v>1188</v>
      </c>
      <c r="G358" s="253">
        <v>6918140</v>
      </c>
      <c r="H358" s="263"/>
      <c r="I358" s="263" t="s">
        <v>1231</v>
      </c>
    </row>
    <row r="359" spans="2:9" ht="15.75" customHeight="1">
      <c r="B359" s="263">
        <v>1108</v>
      </c>
      <c r="C359" s="263" t="s">
        <v>1564</v>
      </c>
      <c r="D359" s="263">
        <v>1</v>
      </c>
      <c r="E359" s="171">
        <v>44249</v>
      </c>
      <c r="F359" s="225" t="s">
        <v>1188</v>
      </c>
      <c r="G359" s="253">
        <v>16740030</v>
      </c>
      <c r="H359" s="263"/>
      <c r="I359" s="263" t="s">
        <v>1231</v>
      </c>
    </row>
    <row r="360" spans="2:9" ht="15.75" customHeight="1">
      <c r="B360" s="263">
        <v>1109</v>
      </c>
      <c r="C360" s="263" t="s">
        <v>1565</v>
      </c>
      <c r="D360" s="263">
        <v>1</v>
      </c>
      <c r="E360" s="171">
        <v>44368</v>
      </c>
      <c r="F360" s="225" t="s">
        <v>1188</v>
      </c>
      <c r="G360" s="253">
        <v>15631880</v>
      </c>
      <c r="H360" s="263"/>
      <c r="I360" s="263" t="s">
        <v>1231</v>
      </c>
    </row>
    <row r="361" spans="2:9" ht="15.75" customHeight="1">
      <c r="B361" s="263">
        <v>1110</v>
      </c>
      <c r="C361" s="263" t="s">
        <v>1566</v>
      </c>
      <c r="D361" s="263">
        <v>1</v>
      </c>
      <c r="E361" s="171">
        <v>44130</v>
      </c>
      <c r="F361" s="225" t="s">
        <v>1188</v>
      </c>
      <c r="G361" s="253">
        <v>10084590</v>
      </c>
      <c r="H361" s="263"/>
      <c r="I361" s="263" t="s">
        <v>1231</v>
      </c>
    </row>
    <row r="362" spans="2:9" ht="15.75" customHeight="1">
      <c r="B362" s="263">
        <v>1111</v>
      </c>
      <c r="C362" s="263" t="s">
        <v>1336</v>
      </c>
      <c r="D362" s="263">
        <v>1</v>
      </c>
      <c r="E362" s="171">
        <v>44193</v>
      </c>
      <c r="F362" s="225" t="s">
        <v>1188</v>
      </c>
      <c r="G362" s="253">
        <v>9592090</v>
      </c>
      <c r="H362" s="263"/>
      <c r="I362" s="263" t="s">
        <v>1231</v>
      </c>
    </row>
    <row r="363" spans="2:9" ht="15.75" customHeight="1">
      <c r="B363" s="263">
        <v>1112</v>
      </c>
      <c r="C363" s="263" t="s">
        <v>1567</v>
      </c>
      <c r="D363" s="263">
        <v>2</v>
      </c>
      <c r="E363" s="171">
        <v>44200</v>
      </c>
      <c r="F363" s="225" t="s">
        <v>1189</v>
      </c>
      <c r="G363" s="253">
        <v>23380300</v>
      </c>
      <c r="H363" s="263"/>
      <c r="I363" s="263" t="s">
        <v>1231</v>
      </c>
    </row>
    <row r="364" spans="2:9" ht="15.75" customHeight="1">
      <c r="B364" s="263">
        <v>1113</v>
      </c>
      <c r="C364" s="263" t="s">
        <v>1568</v>
      </c>
      <c r="D364" s="263">
        <v>1</v>
      </c>
      <c r="E364" s="171">
        <v>36297</v>
      </c>
      <c r="F364" s="225" t="s">
        <v>1190</v>
      </c>
      <c r="G364" s="253">
        <v>92425420</v>
      </c>
      <c r="H364" s="263"/>
      <c r="I364" s="263" t="s">
        <v>1231</v>
      </c>
    </row>
    <row r="365" spans="2:9" ht="15.75" customHeight="1">
      <c r="B365" s="263">
        <v>1114</v>
      </c>
      <c r="C365" s="263" t="s">
        <v>465</v>
      </c>
      <c r="D365" s="263">
        <v>2</v>
      </c>
      <c r="E365" s="171">
        <v>45078</v>
      </c>
      <c r="F365" s="225" t="s">
        <v>1188</v>
      </c>
      <c r="G365" s="253">
        <v>8684810</v>
      </c>
      <c r="H365" s="263"/>
      <c r="I365" s="263" t="s">
        <v>1231</v>
      </c>
    </row>
    <row r="366" spans="2:9" ht="15.75" customHeight="1">
      <c r="B366" s="263">
        <v>1115</v>
      </c>
      <c r="C366" s="263" t="s">
        <v>1569</v>
      </c>
      <c r="D366" s="263">
        <v>2</v>
      </c>
      <c r="E366" s="171">
        <v>44172</v>
      </c>
      <c r="F366" s="225" t="s">
        <v>1188</v>
      </c>
      <c r="G366" s="253">
        <v>25241530</v>
      </c>
      <c r="H366" s="263"/>
      <c r="I366" s="263" t="s">
        <v>1231</v>
      </c>
    </row>
    <row r="367" spans="2:9" ht="15.75" customHeight="1">
      <c r="B367" s="263">
        <v>1116</v>
      </c>
      <c r="C367" s="263" t="s">
        <v>1570</v>
      </c>
      <c r="D367" s="263">
        <v>2</v>
      </c>
      <c r="E367" s="171">
        <v>44273</v>
      </c>
      <c r="F367" s="225" t="s">
        <v>1188</v>
      </c>
      <c r="G367" s="253">
        <v>17354930</v>
      </c>
      <c r="H367" s="263"/>
      <c r="I367" s="263" t="s">
        <v>1231</v>
      </c>
    </row>
    <row r="368" spans="2:9" ht="15.75" customHeight="1">
      <c r="B368" s="263">
        <v>1117</v>
      </c>
      <c r="C368" s="263" t="s">
        <v>1571</v>
      </c>
      <c r="D368" s="263">
        <v>2</v>
      </c>
      <c r="E368" s="171">
        <v>44704</v>
      </c>
      <c r="F368" s="225" t="s">
        <v>1188</v>
      </c>
      <c r="G368" s="253">
        <v>12228180</v>
      </c>
      <c r="H368" s="263"/>
      <c r="I368" s="263" t="s">
        <v>1231</v>
      </c>
    </row>
    <row r="369" spans="2:9" ht="15.75" customHeight="1">
      <c r="B369" s="263">
        <v>1118</v>
      </c>
      <c r="C369" s="263" t="s">
        <v>1572</v>
      </c>
      <c r="D369" s="263">
        <v>2</v>
      </c>
      <c r="E369" s="171">
        <v>44833</v>
      </c>
      <c r="F369" s="225" t="s">
        <v>1188</v>
      </c>
      <c r="G369" s="253">
        <v>11770160</v>
      </c>
      <c r="H369" s="263"/>
      <c r="I369" s="263" t="s">
        <v>1231</v>
      </c>
    </row>
    <row r="370" spans="2:9" ht="15.75" customHeight="1">
      <c r="B370" s="263">
        <v>1119</v>
      </c>
      <c r="C370" s="263" t="s">
        <v>1573</v>
      </c>
      <c r="D370" s="263">
        <v>2</v>
      </c>
      <c r="E370" s="171">
        <v>44613</v>
      </c>
      <c r="F370" s="225" t="s">
        <v>1188</v>
      </c>
      <c r="G370" s="253">
        <v>13254580</v>
      </c>
      <c r="H370" s="263"/>
      <c r="I370" s="263" t="s">
        <v>1231</v>
      </c>
    </row>
    <row r="371" spans="2:9" ht="15.75" customHeight="1">
      <c r="B371" s="263">
        <v>1120</v>
      </c>
      <c r="C371" s="263" t="s">
        <v>1574</v>
      </c>
      <c r="D371" s="263">
        <v>2</v>
      </c>
      <c r="E371" s="171">
        <v>43601</v>
      </c>
      <c r="F371" s="225" t="s">
        <v>1188</v>
      </c>
      <c r="G371" s="253">
        <v>25698580</v>
      </c>
      <c r="H371" s="263"/>
      <c r="I371" s="263" t="s">
        <v>1231</v>
      </c>
    </row>
    <row r="372" spans="2:9" ht="15.75" customHeight="1">
      <c r="B372" s="263">
        <v>1121</v>
      </c>
      <c r="C372" s="263" t="s">
        <v>1575</v>
      </c>
      <c r="D372" s="263">
        <v>2</v>
      </c>
      <c r="E372" s="171">
        <v>44740</v>
      </c>
      <c r="F372" s="225" t="s">
        <v>1188</v>
      </c>
      <c r="G372" s="253">
        <v>11843240</v>
      </c>
      <c r="H372" s="263"/>
      <c r="I372" s="263" t="s">
        <v>1231</v>
      </c>
    </row>
    <row r="373" spans="2:9" ht="15.75" customHeight="1">
      <c r="B373" s="263">
        <v>1122</v>
      </c>
      <c r="C373" s="263" t="s">
        <v>1576</v>
      </c>
      <c r="D373" s="263">
        <v>2</v>
      </c>
      <c r="E373" s="171">
        <v>44769</v>
      </c>
      <c r="F373" s="225" t="s">
        <v>1188</v>
      </c>
      <c r="G373" s="253">
        <v>10266870</v>
      </c>
      <c r="H373" s="263"/>
      <c r="I373" s="263" t="s">
        <v>1231</v>
      </c>
    </row>
    <row r="374" spans="2:9" ht="15.75" customHeight="1">
      <c r="B374" s="263">
        <v>1123</v>
      </c>
      <c r="C374" s="263" t="s">
        <v>1577</v>
      </c>
      <c r="D374" s="263">
        <v>2</v>
      </c>
      <c r="E374" s="171">
        <v>44088</v>
      </c>
      <c r="F374" s="225" t="s">
        <v>1188</v>
      </c>
      <c r="G374" s="253">
        <v>18124220</v>
      </c>
      <c r="H374" s="263"/>
      <c r="I374" s="263" t="s">
        <v>1231</v>
      </c>
    </row>
    <row r="375" spans="2:9" ht="15.75" customHeight="1">
      <c r="B375" s="263">
        <v>1124</v>
      </c>
      <c r="C375" s="263" t="s">
        <v>1578</v>
      </c>
      <c r="D375" s="263">
        <v>2</v>
      </c>
      <c r="E375" s="171">
        <v>44928</v>
      </c>
      <c r="F375" s="225" t="s">
        <v>1188</v>
      </c>
      <c r="G375" s="253">
        <v>7705430</v>
      </c>
      <c r="H375" s="263"/>
      <c r="I375" s="263" t="s">
        <v>1231</v>
      </c>
    </row>
    <row r="376" spans="2:9" ht="15.75" customHeight="1">
      <c r="B376" s="263">
        <v>1125</v>
      </c>
      <c r="C376" s="263" t="s">
        <v>1579</v>
      </c>
      <c r="D376" s="263">
        <v>2</v>
      </c>
      <c r="E376" s="171">
        <v>45215</v>
      </c>
      <c r="F376" s="225" t="s">
        <v>1188</v>
      </c>
      <c r="G376" s="253">
        <v>4739600</v>
      </c>
      <c r="H376" s="263"/>
      <c r="I376" s="263" t="s">
        <v>1231</v>
      </c>
    </row>
    <row r="377" spans="2:9" ht="15.75" customHeight="1">
      <c r="B377" s="263">
        <v>1126</v>
      </c>
      <c r="C377" s="263" t="s">
        <v>1580</v>
      </c>
      <c r="D377" s="263">
        <v>2</v>
      </c>
      <c r="E377" s="171">
        <v>45414</v>
      </c>
      <c r="F377" s="225" t="s">
        <v>1188</v>
      </c>
      <c r="G377" s="253">
        <v>6086560</v>
      </c>
      <c r="H377" s="263"/>
      <c r="I377" s="263" t="s">
        <v>1231</v>
      </c>
    </row>
    <row r="378" spans="2:9" ht="15.75" customHeight="1">
      <c r="B378" s="263">
        <v>1127</v>
      </c>
      <c r="C378" s="263" t="s">
        <v>1581</v>
      </c>
      <c r="D378" s="263">
        <v>2</v>
      </c>
      <c r="E378" s="171">
        <v>45002</v>
      </c>
      <c r="F378" s="225" t="s">
        <v>1188</v>
      </c>
      <c r="G378" s="253">
        <v>8395440</v>
      </c>
      <c r="H378" s="263"/>
      <c r="I378" s="263" t="s">
        <v>1231</v>
      </c>
    </row>
    <row r="379" spans="2:9" ht="15.75" customHeight="1">
      <c r="B379" s="263">
        <v>1128</v>
      </c>
      <c r="C379" s="263" t="s">
        <v>1582</v>
      </c>
      <c r="D379" s="263">
        <v>2</v>
      </c>
      <c r="E379" s="171">
        <v>44389</v>
      </c>
      <c r="F379" s="225" t="s">
        <v>1188</v>
      </c>
      <c r="G379" s="253">
        <v>17207580</v>
      </c>
      <c r="H379" s="263"/>
      <c r="I379" s="263" t="s">
        <v>1231</v>
      </c>
    </row>
    <row r="380" spans="2:9" ht="15.75" customHeight="1">
      <c r="B380" s="263">
        <v>1129</v>
      </c>
      <c r="C380" s="263" t="s">
        <v>1583</v>
      </c>
      <c r="D380" s="263">
        <v>2</v>
      </c>
      <c r="E380" s="171">
        <v>44307</v>
      </c>
      <c r="F380" s="225" t="s">
        <v>1188</v>
      </c>
      <c r="G380" s="253">
        <v>21175560</v>
      </c>
      <c r="H380" s="263"/>
      <c r="I380" s="263" t="s">
        <v>1231</v>
      </c>
    </row>
    <row r="381" spans="2:9" ht="15.75" customHeight="1">
      <c r="B381" s="263">
        <v>1130</v>
      </c>
      <c r="C381" s="263" t="s">
        <v>1584</v>
      </c>
      <c r="D381" s="263">
        <v>2</v>
      </c>
      <c r="E381" s="171">
        <v>45325</v>
      </c>
      <c r="F381" s="225" t="s">
        <v>1188</v>
      </c>
      <c r="G381" s="253">
        <v>8296160</v>
      </c>
      <c r="H381" s="263"/>
      <c r="I381" s="263" t="s">
        <v>1231</v>
      </c>
    </row>
    <row r="382" spans="2:9" ht="15.75" customHeight="1">
      <c r="B382" s="263">
        <v>1131</v>
      </c>
      <c r="C382" s="263" t="s">
        <v>1585</v>
      </c>
      <c r="D382" s="263">
        <v>2</v>
      </c>
      <c r="E382" s="171">
        <v>44508</v>
      </c>
      <c r="F382" s="225" t="s">
        <v>1188</v>
      </c>
      <c r="G382" s="253">
        <v>16729250</v>
      </c>
      <c r="H382" s="263"/>
      <c r="I382" s="263" t="s">
        <v>1231</v>
      </c>
    </row>
    <row r="383" spans="2:9" ht="15.75" customHeight="1">
      <c r="B383" s="263">
        <v>1132</v>
      </c>
      <c r="C383" s="263" t="s">
        <v>1586</v>
      </c>
      <c r="D383" s="263">
        <v>2</v>
      </c>
      <c r="E383" s="171">
        <v>44690</v>
      </c>
      <c r="F383" s="225" t="s">
        <v>1188</v>
      </c>
      <c r="G383" s="253">
        <v>12048280</v>
      </c>
      <c r="H383" s="263"/>
      <c r="I383" s="263" t="s">
        <v>1231</v>
      </c>
    </row>
    <row r="384" spans="2:9" ht="15.75" customHeight="1">
      <c r="B384" s="263">
        <v>1133</v>
      </c>
      <c r="C384" s="263" t="s">
        <v>1587</v>
      </c>
      <c r="D384" s="263">
        <v>2</v>
      </c>
      <c r="E384" s="171">
        <v>45154</v>
      </c>
      <c r="F384" s="225" t="s">
        <v>1188</v>
      </c>
      <c r="G384" s="253">
        <v>6918320</v>
      </c>
      <c r="H384" s="263"/>
      <c r="I384" s="263" t="s">
        <v>1231</v>
      </c>
    </row>
    <row r="385" spans="2:9" ht="15.75" customHeight="1">
      <c r="B385" s="263">
        <v>1134</v>
      </c>
      <c r="C385" s="263" t="s">
        <v>1588</v>
      </c>
      <c r="D385" s="263">
        <v>2</v>
      </c>
      <c r="E385" s="171">
        <v>45737</v>
      </c>
      <c r="F385" s="225" t="s">
        <v>1188</v>
      </c>
      <c r="G385" s="253">
        <v>2600000</v>
      </c>
      <c r="H385" s="263"/>
      <c r="I385" s="263" t="s">
        <v>1231</v>
      </c>
    </row>
    <row r="386" spans="2:9" ht="15.75" customHeight="1">
      <c r="B386" s="263">
        <v>1135</v>
      </c>
      <c r="C386" s="263" t="s">
        <v>1589</v>
      </c>
      <c r="D386" s="263">
        <v>2</v>
      </c>
      <c r="E386" s="171">
        <v>44158</v>
      </c>
      <c r="F386" s="225" t="s">
        <v>1191</v>
      </c>
      <c r="G386" s="253">
        <v>15038860</v>
      </c>
      <c r="H386" s="263"/>
      <c r="I386" s="263" t="s">
        <v>1231</v>
      </c>
    </row>
    <row r="387" spans="2:9" ht="15.75" customHeight="1">
      <c r="B387" s="263">
        <v>1136</v>
      </c>
      <c r="C387" s="263" t="s">
        <v>1590</v>
      </c>
      <c r="D387" s="263">
        <v>2</v>
      </c>
      <c r="E387" s="171">
        <v>43545</v>
      </c>
      <c r="F387" s="225" t="s">
        <v>1192</v>
      </c>
      <c r="G387" s="253">
        <v>24722410</v>
      </c>
      <c r="H387" s="263"/>
      <c r="I387" s="263" t="s">
        <v>1231</v>
      </c>
    </row>
    <row r="388" spans="2:9" ht="15.75" customHeight="1">
      <c r="B388" s="263">
        <v>1137</v>
      </c>
      <c r="C388" s="263" t="s">
        <v>1591</v>
      </c>
      <c r="D388" s="263">
        <v>2</v>
      </c>
      <c r="E388" s="171">
        <v>45432</v>
      </c>
      <c r="F388" s="225" t="s">
        <v>1192</v>
      </c>
      <c r="G388" s="253">
        <v>4928230</v>
      </c>
      <c r="H388" s="263"/>
      <c r="I388" s="263" t="s">
        <v>1231</v>
      </c>
    </row>
    <row r="389" spans="2:9" ht="15.75" customHeight="1">
      <c r="B389" s="263">
        <v>1138</v>
      </c>
      <c r="C389" s="263" t="s">
        <v>1592</v>
      </c>
      <c r="D389" s="263">
        <v>1</v>
      </c>
      <c r="E389" s="171">
        <v>44669</v>
      </c>
      <c r="F389" s="225" t="s">
        <v>1192</v>
      </c>
      <c r="G389" s="253">
        <v>15398810</v>
      </c>
      <c r="H389" s="263"/>
      <c r="I389" s="263" t="s">
        <v>1231</v>
      </c>
    </row>
    <row r="390" spans="2:9" ht="15.75" customHeight="1">
      <c r="B390" s="263">
        <v>1139</v>
      </c>
      <c r="C390" s="263" t="s">
        <v>1593</v>
      </c>
      <c r="D390" s="263">
        <v>2</v>
      </c>
      <c r="E390" s="171">
        <v>45154</v>
      </c>
      <c r="F390" s="225" t="s">
        <v>1189</v>
      </c>
      <c r="G390" s="253">
        <v>5289540</v>
      </c>
      <c r="H390" s="263"/>
      <c r="I390" s="263" t="s">
        <v>1231</v>
      </c>
    </row>
    <row r="391" spans="2:9" ht="15.75" customHeight="1">
      <c r="B391" s="263">
        <v>1140</v>
      </c>
      <c r="C391" s="263" t="s">
        <v>1594</v>
      </c>
      <c r="D391" s="263">
        <v>2</v>
      </c>
      <c r="E391" s="171">
        <v>45514</v>
      </c>
      <c r="F391" s="225" t="s">
        <v>1193</v>
      </c>
      <c r="G391" s="253">
        <v>2641150</v>
      </c>
      <c r="H391" s="263"/>
      <c r="I391" s="263" t="s">
        <v>1231</v>
      </c>
    </row>
    <row r="392" spans="2:9" ht="15.75" customHeight="1">
      <c r="B392" s="263">
        <v>1141</v>
      </c>
      <c r="C392" s="263" t="s">
        <v>910</v>
      </c>
      <c r="D392" s="263">
        <v>2</v>
      </c>
      <c r="E392" s="171">
        <v>45510</v>
      </c>
      <c r="F392" s="225" t="s">
        <v>1194</v>
      </c>
      <c r="G392" s="253">
        <v>2755990</v>
      </c>
      <c r="H392" s="263"/>
      <c r="I392" s="263" t="s">
        <v>1231</v>
      </c>
    </row>
    <row r="393" spans="2:9" ht="15.75" customHeight="1">
      <c r="B393" s="263">
        <v>1142</v>
      </c>
      <c r="C393" s="263" t="s">
        <v>1595</v>
      </c>
      <c r="D393" s="263">
        <v>1</v>
      </c>
      <c r="E393" s="171">
        <v>37392</v>
      </c>
      <c r="F393" s="225" t="s">
        <v>1195</v>
      </c>
      <c r="G393" s="253">
        <v>101148540</v>
      </c>
      <c r="H393" s="263"/>
      <c r="I393" s="263" t="s">
        <v>1231</v>
      </c>
    </row>
    <row r="394" spans="2:9" ht="15.75" customHeight="1">
      <c r="B394" s="263">
        <v>1143</v>
      </c>
      <c r="C394" s="263" t="s">
        <v>1596</v>
      </c>
      <c r="D394" s="263">
        <v>1</v>
      </c>
      <c r="E394" s="171">
        <v>45110</v>
      </c>
      <c r="F394" s="225" t="s">
        <v>1196</v>
      </c>
      <c r="G394" s="253">
        <v>8488000</v>
      </c>
      <c r="H394" s="263"/>
      <c r="I394" s="263" t="s">
        <v>1231</v>
      </c>
    </row>
    <row r="395" spans="2:9" ht="15.75" customHeight="1">
      <c r="B395" s="263">
        <v>1144</v>
      </c>
      <c r="C395" s="263" t="s">
        <v>1597</v>
      </c>
      <c r="D395" s="263">
        <v>2</v>
      </c>
      <c r="E395" s="171">
        <v>43874</v>
      </c>
      <c r="F395" s="225" t="s">
        <v>1197</v>
      </c>
      <c r="G395" s="253">
        <v>30616190</v>
      </c>
      <c r="H395" s="263"/>
      <c r="I395" s="263" t="s">
        <v>1231</v>
      </c>
    </row>
    <row r="396" spans="2:9" ht="15.75" customHeight="1">
      <c r="B396" s="263">
        <v>1145</v>
      </c>
      <c r="C396" s="263" t="s">
        <v>1598</v>
      </c>
      <c r="D396" s="263">
        <v>1</v>
      </c>
      <c r="E396" s="171">
        <v>44284</v>
      </c>
      <c r="F396" s="225" t="s">
        <v>1198</v>
      </c>
      <c r="G396" s="253">
        <v>24139730</v>
      </c>
      <c r="H396" s="263"/>
      <c r="I396" s="263" t="s">
        <v>1231</v>
      </c>
    </row>
    <row r="397" spans="2:9" ht="15.75" customHeight="1">
      <c r="B397" s="263">
        <v>1146</v>
      </c>
      <c r="C397" s="263" t="s">
        <v>1599</v>
      </c>
      <c r="D397" s="263">
        <v>2</v>
      </c>
      <c r="E397" s="171">
        <v>44153</v>
      </c>
      <c r="F397" s="225" t="s">
        <v>1195</v>
      </c>
      <c r="G397" s="253">
        <v>18147950</v>
      </c>
      <c r="H397" s="263"/>
      <c r="I397" s="263" t="s">
        <v>1231</v>
      </c>
    </row>
    <row r="398" spans="2:9" ht="15.75" customHeight="1">
      <c r="B398" s="263">
        <v>1147</v>
      </c>
      <c r="C398" s="263" t="s">
        <v>1600</v>
      </c>
      <c r="D398" s="263">
        <v>2</v>
      </c>
      <c r="E398" s="171">
        <v>44564</v>
      </c>
      <c r="F398" s="225" t="s">
        <v>1199</v>
      </c>
      <c r="G398" s="253">
        <v>15061000</v>
      </c>
      <c r="H398" s="263"/>
      <c r="I398" s="263" t="s">
        <v>1231</v>
      </c>
    </row>
    <row r="399" spans="2:9" ht="15.75" customHeight="1">
      <c r="B399" s="263">
        <v>1148</v>
      </c>
      <c r="C399" s="263" t="s">
        <v>1601</v>
      </c>
      <c r="D399" s="263">
        <v>2</v>
      </c>
      <c r="E399" s="171">
        <v>44713</v>
      </c>
      <c r="F399" s="225" t="s">
        <v>1199</v>
      </c>
      <c r="G399" s="253">
        <v>12426870</v>
      </c>
      <c r="H399" s="263"/>
      <c r="I399" s="263" t="s">
        <v>1231</v>
      </c>
    </row>
    <row r="400" spans="2:9" ht="15.75" customHeight="1">
      <c r="B400" s="263">
        <v>1149</v>
      </c>
      <c r="C400" s="263" t="s">
        <v>1602</v>
      </c>
      <c r="D400" s="263">
        <v>2</v>
      </c>
      <c r="E400" s="171">
        <v>44123</v>
      </c>
      <c r="F400" s="225" t="s">
        <v>1200</v>
      </c>
      <c r="G400" s="253">
        <v>17599290</v>
      </c>
      <c r="H400" s="263"/>
      <c r="I400" s="263" t="s">
        <v>1231</v>
      </c>
    </row>
    <row r="401" spans="2:9" ht="15.75" customHeight="1">
      <c r="B401" s="263">
        <v>1150</v>
      </c>
      <c r="C401" s="263" t="s">
        <v>1603</v>
      </c>
      <c r="D401" s="263">
        <v>2</v>
      </c>
      <c r="E401" s="171">
        <v>44176</v>
      </c>
      <c r="F401" s="225" t="s">
        <v>1200</v>
      </c>
      <c r="G401" s="253">
        <v>18419390</v>
      </c>
      <c r="H401" s="263"/>
      <c r="I401" s="263" t="s">
        <v>1231</v>
      </c>
    </row>
    <row r="402" spans="2:9" ht="15.75" customHeight="1">
      <c r="B402" s="263">
        <v>1151</v>
      </c>
      <c r="C402" s="263" t="s">
        <v>1604</v>
      </c>
      <c r="D402" s="263">
        <v>2</v>
      </c>
      <c r="E402" s="171">
        <v>45026</v>
      </c>
      <c r="F402" s="225" t="s">
        <v>1200</v>
      </c>
      <c r="G402" s="253">
        <v>9561060</v>
      </c>
      <c r="H402" s="263"/>
      <c r="I402" s="263" t="s">
        <v>1231</v>
      </c>
    </row>
    <row r="403" spans="2:9" ht="15.75" customHeight="1">
      <c r="B403" s="263">
        <v>1152</v>
      </c>
      <c r="C403" s="263" t="s">
        <v>1605</v>
      </c>
      <c r="D403" s="263">
        <v>2</v>
      </c>
      <c r="E403" s="171">
        <v>44462</v>
      </c>
      <c r="F403" s="225" t="s">
        <v>1195</v>
      </c>
      <c r="G403" s="253">
        <v>14370810</v>
      </c>
      <c r="H403" s="263"/>
      <c r="I403" s="263" t="s">
        <v>1231</v>
      </c>
    </row>
    <row r="404" spans="2:9" ht="15.75" customHeight="1">
      <c r="B404" s="263">
        <v>1153</v>
      </c>
      <c r="C404" s="263" t="s">
        <v>1606</v>
      </c>
      <c r="D404" s="263">
        <v>2</v>
      </c>
      <c r="E404" s="171">
        <v>45005</v>
      </c>
      <c r="F404" s="225" t="s">
        <v>1195</v>
      </c>
      <c r="G404" s="253">
        <v>9929150</v>
      </c>
      <c r="H404" s="263"/>
      <c r="I404" s="263" t="s">
        <v>1231</v>
      </c>
    </row>
    <row r="405" spans="2:9" ht="15.75" customHeight="1">
      <c r="B405" s="263">
        <v>1154</v>
      </c>
      <c r="C405" s="263" t="s">
        <v>1607</v>
      </c>
      <c r="D405" s="263">
        <v>2</v>
      </c>
      <c r="E405" s="171">
        <v>44179</v>
      </c>
      <c r="F405" s="225" t="s">
        <v>1195</v>
      </c>
      <c r="G405" s="253">
        <v>21480330</v>
      </c>
      <c r="H405" s="263"/>
      <c r="I405" s="263" t="s">
        <v>1231</v>
      </c>
    </row>
    <row r="406" spans="2:9" ht="15.75" customHeight="1">
      <c r="B406" s="263">
        <v>1155</v>
      </c>
      <c r="C406" s="263" t="s">
        <v>1608</v>
      </c>
      <c r="D406" s="263">
        <v>2</v>
      </c>
      <c r="E406" s="171">
        <v>44566</v>
      </c>
      <c r="F406" s="225" t="s">
        <v>1195</v>
      </c>
      <c r="G406" s="253">
        <v>10222830</v>
      </c>
      <c r="H406" s="263"/>
      <c r="I406" s="263" t="s">
        <v>1231</v>
      </c>
    </row>
    <row r="407" spans="2:9" ht="15.75" customHeight="1">
      <c r="B407" s="263">
        <v>1156</v>
      </c>
      <c r="C407" s="263" t="s">
        <v>1609</v>
      </c>
      <c r="D407" s="263">
        <v>1</v>
      </c>
      <c r="E407" s="171">
        <v>44729</v>
      </c>
      <c r="F407" s="225" t="s">
        <v>1195</v>
      </c>
      <c r="G407" s="253">
        <v>11460180</v>
      </c>
      <c r="H407" s="263"/>
      <c r="I407" s="263" t="s">
        <v>1231</v>
      </c>
    </row>
    <row r="408" spans="2:9" ht="15.75" customHeight="1">
      <c r="B408" s="263">
        <v>1157</v>
      </c>
      <c r="C408" s="263" t="s">
        <v>1610</v>
      </c>
      <c r="D408" s="263">
        <v>2</v>
      </c>
      <c r="E408" s="171">
        <v>44195</v>
      </c>
      <c r="F408" s="225" t="s">
        <v>1195</v>
      </c>
      <c r="G408" s="253">
        <v>18316600</v>
      </c>
      <c r="H408" s="263"/>
      <c r="I408" s="263" t="s">
        <v>1231</v>
      </c>
    </row>
    <row r="409" spans="2:9" ht="15.75" customHeight="1">
      <c r="B409" s="263">
        <v>1158</v>
      </c>
      <c r="C409" s="263" t="s">
        <v>1611</v>
      </c>
      <c r="D409" s="263">
        <v>2</v>
      </c>
      <c r="E409" s="171">
        <v>44566</v>
      </c>
      <c r="F409" s="225" t="s">
        <v>1195</v>
      </c>
      <c r="G409" s="253">
        <v>11069850</v>
      </c>
      <c r="H409" s="263"/>
      <c r="I409" s="263" t="s">
        <v>1231</v>
      </c>
    </row>
    <row r="410" spans="2:9" ht="15.75" customHeight="1">
      <c r="B410" s="263">
        <v>1159</v>
      </c>
      <c r="C410" s="263" t="s">
        <v>1612</v>
      </c>
      <c r="D410" s="263">
        <v>2</v>
      </c>
      <c r="E410" s="171">
        <v>45244</v>
      </c>
      <c r="F410" s="225" t="s">
        <v>1195</v>
      </c>
      <c r="G410" s="253">
        <v>7976570</v>
      </c>
      <c r="H410" s="263"/>
      <c r="I410" s="263" t="s">
        <v>1231</v>
      </c>
    </row>
    <row r="411" spans="2:9" ht="15.75" customHeight="1">
      <c r="B411" s="263">
        <v>1160</v>
      </c>
      <c r="C411" s="263" t="s">
        <v>1613</v>
      </c>
      <c r="D411" s="263">
        <v>2</v>
      </c>
      <c r="E411" s="171">
        <v>44123</v>
      </c>
      <c r="F411" s="225" t="s">
        <v>1195</v>
      </c>
      <c r="G411" s="253">
        <v>19781290</v>
      </c>
      <c r="H411" s="263"/>
      <c r="I411" s="263" t="s">
        <v>1231</v>
      </c>
    </row>
    <row r="412" spans="2:9" ht="15.75" customHeight="1">
      <c r="B412" s="263">
        <v>1161</v>
      </c>
      <c r="C412" s="263" t="s">
        <v>1614</v>
      </c>
      <c r="D412" s="263">
        <v>2</v>
      </c>
      <c r="E412" s="171">
        <v>44425</v>
      </c>
      <c r="F412" s="225" t="s">
        <v>1195</v>
      </c>
      <c r="G412" s="253">
        <v>18624010</v>
      </c>
      <c r="H412" s="263"/>
      <c r="I412" s="263" t="s">
        <v>1231</v>
      </c>
    </row>
    <row r="413" spans="2:9" ht="15.75" customHeight="1">
      <c r="B413" s="263">
        <v>1162</v>
      </c>
      <c r="C413" s="263" t="s">
        <v>1615</v>
      </c>
      <c r="D413" s="263">
        <v>2</v>
      </c>
      <c r="E413" s="171">
        <v>44196</v>
      </c>
      <c r="F413" s="225" t="s">
        <v>1195</v>
      </c>
      <c r="G413" s="253">
        <v>12337420</v>
      </c>
      <c r="H413" s="263"/>
      <c r="I413" s="263" t="s">
        <v>1231</v>
      </c>
    </row>
    <row r="414" spans="2:9" ht="15.75" customHeight="1">
      <c r="B414" s="263">
        <v>1163</v>
      </c>
      <c r="C414" s="263" t="s">
        <v>1616</v>
      </c>
      <c r="D414" s="263">
        <v>2</v>
      </c>
      <c r="E414" s="171">
        <v>45444</v>
      </c>
      <c r="F414" s="225" t="s">
        <v>1195</v>
      </c>
      <c r="G414" s="253">
        <v>6338200</v>
      </c>
      <c r="H414" s="263"/>
      <c r="I414" s="263" t="s">
        <v>1231</v>
      </c>
    </row>
    <row r="415" spans="2:9" ht="15.75" customHeight="1">
      <c r="B415" s="263">
        <v>1164</v>
      </c>
      <c r="C415" s="263" t="s">
        <v>1617</v>
      </c>
      <c r="D415" s="263">
        <v>2</v>
      </c>
      <c r="E415" s="171">
        <v>44326</v>
      </c>
      <c r="F415" s="225" t="s">
        <v>1195</v>
      </c>
      <c r="G415" s="253">
        <v>17908010</v>
      </c>
      <c r="H415" s="263"/>
      <c r="I415" s="263" t="s">
        <v>1231</v>
      </c>
    </row>
    <row r="416" spans="2:9" ht="15.75" customHeight="1">
      <c r="B416" s="263">
        <v>1165</v>
      </c>
      <c r="C416" s="263" t="s">
        <v>1618</v>
      </c>
      <c r="D416" s="263">
        <v>2</v>
      </c>
      <c r="E416" s="171">
        <v>44776</v>
      </c>
      <c r="F416" s="225" t="s">
        <v>1195</v>
      </c>
      <c r="G416" s="253">
        <v>11325950</v>
      </c>
      <c r="H416" s="263"/>
      <c r="I416" s="263" t="s">
        <v>1231</v>
      </c>
    </row>
    <row r="417" spans="2:9" ht="15.75" customHeight="1">
      <c r="B417" s="263">
        <v>1166</v>
      </c>
      <c r="C417" s="263" t="s">
        <v>1619</v>
      </c>
      <c r="D417" s="263">
        <v>2</v>
      </c>
      <c r="E417" s="171">
        <v>44767</v>
      </c>
      <c r="F417" s="225" t="s">
        <v>1195</v>
      </c>
      <c r="G417" s="253">
        <v>11875960</v>
      </c>
      <c r="H417" s="263"/>
      <c r="I417" s="263" t="s">
        <v>1231</v>
      </c>
    </row>
    <row r="418" spans="2:9" ht="15.75" customHeight="1">
      <c r="B418" s="263">
        <v>1167</v>
      </c>
      <c r="C418" s="263" t="s">
        <v>1620</v>
      </c>
      <c r="D418" s="263">
        <v>2</v>
      </c>
      <c r="E418" s="171">
        <v>43682</v>
      </c>
      <c r="F418" s="225" t="s">
        <v>1195</v>
      </c>
      <c r="G418" s="253">
        <v>22339810</v>
      </c>
      <c r="H418" s="263"/>
      <c r="I418" s="263" t="s">
        <v>1231</v>
      </c>
    </row>
    <row r="419" spans="2:9" ht="15.75" customHeight="1">
      <c r="B419" s="263">
        <v>1168</v>
      </c>
      <c r="C419" s="263" t="s">
        <v>1621</v>
      </c>
      <c r="D419" s="263">
        <v>2</v>
      </c>
      <c r="E419" s="171">
        <v>45530</v>
      </c>
      <c r="F419" s="225" t="s">
        <v>1195</v>
      </c>
      <c r="G419" s="253">
        <v>4984570</v>
      </c>
      <c r="H419" s="263"/>
      <c r="I419" s="263" t="s">
        <v>1231</v>
      </c>
    </row>
    <row r="420" spans="2:9" ht="15.75" customHeight="1">
      <c r="B420" s="263">
        <v>1169</v>
      </c>
      <c r="C420" s="263" t="s">
        <v>1622</v>
      </c>
      <c r="D420" s="263">
        <v>2</v>
      </c>
      <c r="E420" s="171">
        <v>43938</v>
      </c>
      <c r="F420" s="225" t="s">
        <v>1195</v>
      </c>
      <c r="G420" s="253">
        <v>20380110</v>
      </c>
      <c r="H420" s="263"/>
      <c r="I420" s="263" t="s">
        <v>1231</v>
      </c>
    </row>
    <row r="421" spans="2:9" ht="15.75" customHeight="1">
      <c r="B421" s="263">
        <v>1170</v>
      </c>
      <c r="C421" s="263" t="s">
        <v>1623</v>
      </c>
      <c r="D421" s="263">
        <v>2</v>
      </c>
      <c r="E421" s="171">
        <v>44363</v>
      </c>
      <c r="F421" s="225" t="s">
        <v>1195</v>
      </c>
      <c r="G421" s="253">
        <v>12580620</v>
      </c>
      <c r="H421" s="263"/>
      <c r="I421" s="263" t="s">
        <v>1231</v>
      </c>
    </row>
    <row r="422" spans="2:9" ht="15.75" customHeight="1">
      <c r="B422" s="263">
        <v>1171</v>
      </c>
      <c r="C422" s="263" t="s">
        <v>1624</v>
      </c>
      <c r="D422" s="263">
        <v>2</v>
      </c>
      <c r="E422" s="171">
        <v>45215</v>
      </c>
      <c r="F422" s="225" t="s">
        <v>1195</v>
      </c>
      <c r="G422" s="253">
        <v>8211380</v>
      </c>
      <c r="H422" s="263"/>
      <c r="I422" s="263" t="s">
        <v>1231</v>
      </c>
    </row>
    <row r="423" spans="2:9" ht="15.75" customHeight="1">
      <c r="B423" s="263">
        <v>1172</v>
      </c>
      <c r="C423" s="263" t="s">
        <v>1625</v>
      </c>
      <c r="D423" s="263">
        <v>2</v>
      </c>
      <c r="E423" s="171">
        <v>44172</v>
      </c>
      <c r="F423" s="225" t="s">
        <v>1195</v>
      </c>
      <c r="G423" s="253">
        <v>16099010</v>
      </c>
      <c r="H423" s="263"/>
      <c r="I423" s="263" t="s">
        <v>1231</v>
      </c>
    </row>
    <row r="424" spans="2:9" ht="15.75" customHeight="1">
      <c r="B424" s="263">
        <v>1173</v>
      </c>
      <c r="C424" s="263" t="s">
        <v>1626</v>
      </c>
      <c r="D424" s="263">
        <v>2</v>
      </c>
      <c r="E424" s="171">
        <v>44536</v>
      </c>
      <c r="F424" s="225" t="s">
        <v>1195</v>
      </c>
      <c r="G424" s="253">
        <v>12706620</v>
      </c>
      <c r="H424" s="263"/>
      <c r="I424" s="263" t="s">
        <v>1231</v>
      </c>
    </row>
    <row r="425" spans="2:9" ht="15.75" customHeight="1">
      <c r="B425" s="263">
        <v>1174</v>
      </c>
      <c r="C425" s="263" t="s">
        <v>1627</v>
      </c>
      <c r="D425" s="263">
        <v>2</v>
      </c>
      <c r="E425" s="171">
        <v>44348</v>
      </c>
      <c r="F425" s="225" t="s">
        <v>1195</v>
      </c>
      <c r="G425" s="253">
        <v>11726140</v>
      </c>
      <c r="H425" s="263"/>
      <c r="I425" s="263" t="s">
        <v>1231</v>
      </c>
    </row>
    <row r="426" spans="2:9" ht="15.75" customHeight="1">
      <c r="B426" s="263">
        <v>1175</v>
      </c>
      <c r="C426" s="263" t="s">
        <v>1628</v>
      </c>
      <c r="D426" s="263">
        <v>2</v>
      </c>
      <c r="E426" s="171">
        <v>44739</v>
      </c>
      <c r="F426" s="225" t="s">
        <v>1195</v>
      </c>
      <c r="G426" s="253">
        <v>10236150</v>
      </c>
      <c r="H426" s="263"/>
      <c r="I426" s="263" t="s">
        <v>1231</v>
      </c>
    </row>
    <row r="427" spans="2:9" ht="15.75" customHeight="1">
      <c r="B427" s="263">
        <v>1176</v>
      </c>
      <c r="C427" s="263" t="s">
        <v>1629</v>
      </c>
      <c r="D427" s="263">
        <v>2</v>
      </c>
      <c r="E427" s="171">
        <v>44918</v>
      </c>
      <c r="F427" s="225" t="s">
        <v>1195</v>
      </c>
      <c r="G427" s="253">
        <v>9413020</v>
      </c>
      <c r="H427" s="263"/>
      <c r="I427" s="263" t="s">
        <v>1231</v>
      </c>
    </row>
    <row r="428" spans="2:9" ht="15.75" customHeight="1">
      <c r="B428" s="263">
        <v>1177</v>
      </c>
      <c r="C428" s="263" t="s">
        <v>1630</v>
      </c>
      <c r="D428" s="263">
        <v>2</v>
      </c>
      <c r="E428" s="171">
        <v>45103</v>
      </c>
      <c r="F428" s="225" t="s">
        <v>1195</v>
      </c>
      <c r="G428" s="253">
        <v>8033880</v>
      </c>
      <c r="H428" s="263"/>
      <c r="I428" s="263" t="s">
        <v>1231</v>
      </c>
    </row>
    <row r="429" spans="2:9" ht="15.75" customHeight="1">
      <c r="B429" s="263">
        <v>1178</v>
      </c>
      <c r="C429" s="263" t="s">
        <v>1631</v>
      </c>
      <c r="D429" s="263">
        <v>2</v>
      </c>
      <c r="E429" s="171">
        <v>45507</v>
      </c>
      <c r="F429" s="225" t="s">
        <v>1195</v>
      </c>
      <c r="G429" s="253">
        <v>3098910</v>
      </c>
      <c r="H429" s="263"/>
      <c r="I429" s="263" t="s">
        <v>1231</v>
      </c>
    </row>
    <row r="430" spans="2:9" ht="15.75" customHeight="1">
      <c r="B430" s="263">
        <v>1179</v>
      </c>
      <c r="C430" s="263" t="s">
        <v>1632</v>
      </c>
      <c r="D430" s="263">
        <v>2</v>
      </c>
      <c r="E430" s="171">
        <v>45517</v>
      </c>
      <c r="F430" s="225" t="s">
        <v>1195</v>
      </c>
      <c r="G430" s="253">
        <v>2778640</v>
      </c>
      <c r="H430" s="263"/>
      <c r="I430" s="263" t="s">
        <v>1231</v>
      </c>
    </row>
    <row r="431" spans="2:9" ht="15.75" customHeight="1">
      <c r="B431" s="263">
        <v>1180</v>
      </c>
      <c r="C431" s="263" t="s">
        <v>1633</v>
      </c>
      <c r="D431" s="263">
        <v>2</v>
      </c>
      <c r="E431" s="171">
        <v>44176</v>
      </c>
      <c r="F431" s="225" t="s">
        <v>1201</v>
      </c>
      <c r="G431" s="253">
        <v>21287250</v>
      </c>
      <c r="H431" s="263"/>
      <c r="I431" s="263" t="s">
        <v>1231</v>
      </c>
    </row>
    <row r="432" spans="2:9" ht="15.75" customHeight="1">
      <c r="B432" s="263">
        <v>1181</v>
      </c>
      <c r="C432" s="263" t="s">
        <v>1634</v>
      </c>
      <c r="D432" s="263">
        <v>1</v>
      </c>
      <c r="E432" s="171">
        <v>44277</v>
      </c>
      <c r="F432" s="225" t="s">
        <v>1196</v>
      </c>
      <c r="G432" s="253">
        <v>14509130</v>
      </c>
      <c r="H432" s="263"/>
      <c r="I432" s="263" t="s">
        <v>1231</v>
      </c>
    </row>
    <row r="433" spans="2:9" ht="15.75" customHeight="1">
      <c r="B433" s="263">
        <v>1182</v>
      </c>
      <c r="C433" s="263" t="s">
        <v>1635</v>
      </c>
      <c r="D433" s="263">
        <v>1</v>
      </c>
      <c r="E433" s="171">
        <v>44403</v>
      </c>
      <c r="F433" s="225" t="s">
        <v>1196</v>
      </c>
      <c r="G433" s="253">
        <v>20017920</v>
      </c>
      <c r="H433" s="263"/>
      <c r="I433" s="263" t="s">
        <v>1231</v>
      </c>
    </row>
    <row r="434" spans="2:9" ht="15.75" customHeight="1">
      <c r="B434" s="263">
        <v>1183</v>
      </c>
      <c r="C434" s="263" t="s">
        <v>1636</v>
      </c>
      <c r="D434" s="263">
        <v>1</v>
      </c>
      <c r="E434" s="171">
        <v>44641</v>
      </c>
      <c r="F434" s="225" t="s">
        <v>1202</v>
      </c>
      <c r="G434" s="253">
        <v>13216780</v>
      </c>
      <c r="H434" s="263"/>
      <c r="I434" s="263" t="s">
        <v>1231</v>
      </c>
    </row>
    <row r="435" spans="2:9" ht="15.75" customHeight="1">
      <c r="B435" s="263">
        <v>1184</v>
      </c>
      <c r="C435" s="263" t="s">
        <v>690</v>
      </c>
      <c r="D435" s="263">
        <v>1</v>
      </c>
      <c r="E435" s="171">
        <v>44550</v>
      </c>
      <c r="F435" s="225" t="s">
        <v>1202</v>
      </c>
      <c r="G435" s="253">
        <v>14134920</v>
      </c>
      <c r="H435" s="263"/>
      <c r="I435" s="263" t="s">
        <v>1231</v>
      </c>
    </row>
    <row r="436" spans="2:9" ht="15.75" customHeight="1">
      <c r="B436" s="263">
        <v>1185</v>
      </c>
      <c r="C436" s="263" t="s">
        <v>1637</v>
      </c>
      <c r="D436" s="263">
        <v>2</v>
      </c>
      <c r="E436" s="171">
        <v>44363</v>
      </c>
      <c r="F436" s="225" t="s">
        <v>1203</v>
      </c>
      <c r="G436" s="253">
        <v>16996090</v>
      </c>
      <c r="H436" s="263"/>
      <c r="I436" s="263" t="s">
        <v>1231</v>
      </c>
    </row>
    <row r="437" spans="2:9" ht="15.75" customHeight="1">
      <c r="B437" s="263">
        <v>1186</v>
      </c>
      <c r="C437" s="263" t="s">
        <v>1638</v>
      </c>
      <c r="D437" s="263">
        <v>2</v>
      </c>
      <c r="E437" s="171">
        <v>45444</v>
      </c>
      <c r="F437" s="225" t="s">
        <v>1204</v>
      </c>
      <c r="G437" s="253">
        <v>5635810</v>
      </c>
      <c r="H437" s="263"/>
      <c r="I437" s="263" t="s">
        <v>1231</v>
      </c>
    </row>
    <row r="438" spans="2:9" ht="15.75" customHeight="1">
      <c r="B438" s="263">
        <v>1187</v>
      </c>
      <c r="C438" s="263" t="s">
        <v>1639</v>
      </c>
      <c r="D438" s="263">
        <v>2</v>
      </c>
      <c r="E438" s="171">
        <v>45734</v>
      </c>
      <c r="F438" s="225" t="s">
        <v>1204</v>
      </c>
      <c r="G438" s="253">
        <v>2600000</v>
      </c>
      <c r="H438" s="263"/>
      <c r="I438" s="263" t="s">
        <v>1231</v>
      </c>
    </row>
    <row r="439" spans="2:9" ht="15.75" customHeight="1">
      <c r="B439" s="263">
        <v>1188</v>
      </c>
      <c r="C439" s="263" t="s">
        <v>1640</v>
      </c>
      <c r="D439" s="263">
        <v>1</v>
      </c>
      <c r="E439" s="171">
        <v>44368</v>
      </c>
      <c r="F439" s="225" t="s">
        <v>1205</v>
      </c>
      <c r="G439" s="253">
        <v>15634160</v>
      </c>
      <c r="H439" s="263"/>
      <c r="I439" s="263" t="s">
        <v>1231</v>
      </c>
    </row>
    <row r="440" spans="2:9" ht="15.75" customHeight="1">
      <c r="B440" s="263">
        <v>1189</v>
      </c>
      <c r="C440" s="263" t="s">
        <v>1641</v>
      </c>
      <c r="D440" s="263">
        <v>2</v>
      </c>
      <c r="E440" s="171">
        <v>44075</v>
      </c>
      <c r="F440" s="225" t="s">
        <v>1206</v>
      </c>
      <c r="G440" s="253">
        <v>18707830</v>
      </c>
      <c r="H440" s="263"/>
      <c r="I440" s="263" t="s">
        <v>1231</v>
      </c>
    </row>
    <row r="441" spans="2:9" ht="15.75" customHeight="1">
      <c r="B441" s="263">
        <v>1190</v>
      </c>
      <c r="C441" s="263" t="s">
        <v>1642</v>
      </c>
      <c r="D441" s="263">
        <v>2</v>
      </c>
      <c r="E441" s="171">
        <v>44417</v>
      </c>
      <c r="F441" s="225" t="s">
        <v>1207</v>
      </c>
      <c r="G441" s="253">
        <v>20030180</v>
      </c>
      <c r="H441" s="263"/>
      <c r="I441" s="263" t="s">
        <v>1231</v>
      </c>
    </row>
    <row r="442" spans="2:9" ht="15.75" customHeight="1">
      <c r="B442" s="263">
        <v>1191</v>
      </c>
      <c r="C442" s="263" t="s">
        <v>1643</v>
      </c>
      <c r="D442" s="263">
        <v>2</v>
      </c>
      <c r="E442" s="171">
        <v>45222</v>
      </c>
      <c r="F442" s="225" t="s">
        <v>1208</v>
      </c>
      <c r="G442" s="253">
        <v>6272850</v>
      </c>
      <c r="H442" s="263"/>
      <c r="I442" s="263" t="s">
        <v>1231</v>
      </c>
    </row>
    <row r="443" spans="2:9" ht="15.75" customHeight="1">
      <c r="B443" s="263">
        <v>1192</v>
      </c>
      <c r="C443" s="263" t="s">
        <v>1644</v>
      </c>
      <c r="D443" s="263">
        <v>1</v>
      </c>
      <c r="E443" s="171">
        <v>43937</v>
      </c>
      <c r="F443" s="225" t="s">
        <v>1209</v>
      </c>
      <c r="G443" s="253">
        <v>28417920</v>
      </c>
      <c r="H443" s="263"/>
      <c r="I443" s="263" t="s">
        <v>1231</v>
      </c>
    </row>
    <row r="444" spans="2:9" ht="15.75" customHeight="1">
      <c r="B444" s="263">
        <v>1193</v>
      </c>
      <c r="C444" s="263" t="s">
        <v>1645</v>
      </c>
      <c r="D444" s="263">
        <v>1</v>
      </c>
      <c r="E444" s="171">
        <v>43976</v>
      </c>
      <c r="F444" s="225" t="s">
        <v>1210</v>
      </c>
      <c r="G444" s="253">
        <v>25651520</v>
      </c>
      <c r="H444" s="263"/>
      <c r="I444" s="263" t="s">
        <v>1231</v>
      </c>
    </row>
    <row r="445" spans="2:9" ht="15.75" customHeight="1">
      <c r="B445" s="263">
        <v>1194</v>
      </c>
      <c r="C445" s="263" t="s">
        <v>1646</v>
      </c>
      <c r="D445" s="263">
        <v>2</v>
      </c>
      <c r="E445" s="171">
        <v>44425</v>
      </c>
      <c r="F445" s="225" t="s">
        <v>1211</v>
      </c>
      <c r="G445" s="253">
        <v>18935480</v>
      </c>
      <c r="H445" s="263"/>
      <c r="I445" s="263" t="s">
        <v>1231</v>
      </c>
    </row>
    <row r="446" spans="2:9" ht="15.75" customHeight="1">
      <c r="B446" s="263">
        <v>1195</v>
      </c>
      <c r="C446" s="263" t="s">
        <v>1647</v>
      </c>
      <c r="D446" s="263">
        <v>2</v>
      </c>
      <c r="E446" s="171">
        <v>44243</v>
      </c>
      <c r="F446" s="225" t="s">
        <v>1211</v>
      </c>
      <c r="G446" s="253">
        <v>20825020</v>
      </c>
      <c r="H446" s="263"/>
      <c r="I446" s="263" t="s">
        <v>1231</v>
      </c>
    </row>
    <row r="447" spans="2:9" ht="15.75" customHeight="1">
      <c r="B447" s="263">
        <v>1196</v>
      </c>
      <c r="C447" s="263" t="s">
        <v>1648</v>
      </c>
      <c r="D447" s="263">
        <v>2</v>
      </c>
      <c r="E447" s="171">
        <v>44137</v>
      </c>
      <c r="F447" s="225" t="s">
        <v>1211</v>
      </c>
      <c r="G447" s="253">
        <v>16149330</v>
      </c>
      <c r="H447" s="263"/>
      <c r="I447" s="263" t="s">
        <v>1231</v>
      </c>
    </row>
    <row r="448" spans="2:9" ht="15.75" customHeight="1">
      <c r="B448" s="263">
        <v>1197</v>
      </c>
      <c r="C448" s="263" t="s">
        <v>1649</v>
      </c>
      <c r="D448" s="263">
        <v>1</v>
      </c>
      <c r="E448" s="171">
        <v>44118</v>
      </c>
      <c r="F448" s="225" t="s">
        <v>1211</v>
      </c>
      <c r="G448" s="253">
        <v>20085490</v>
      </c>
      <c r="H448" s="263"/>
      <c r="I448" s="263" t="s">
        <v>1231</v>
      </c>
    </row>
    <row r="449" spans="2:9" ht="15.75" customHeight="1">
      <c r="B449" s="263">
        <v>1198</v>
      </c>
      <c r="C449" s="263" t="s">
        <v>1650</v>
      </c>
      <c r="D449" s="263">
        <v>1</v>
      </c>
      <c r="E449" s="171">
        <v>44433</v>
      </c>
      <c r="F449" s="225" t="s">
        <v>1212</v>
      </c>
      <c r="G449" s="253">
        <v>10832330</v>
      </c>
      <c r="H449" s="263"/>
      <c r="I449" s="263" t="s">
        <v>1231</v>
      </c>
    </row>
    <row r="450" spans="2:9" ht="15.75" customHeight="1">
      <c r="B450" s="263">
        <v>1199</v>
      </c>
      <c r="C450" s="263" t="s">
        <v>1651</v>
      </c>
      <c r="D450" s="263">
        <v>1</v>
      </c>
      <c r="E450" s="171">
        <v>45554</v>
      </c>
      <c r="F450" s="225" t="s">
        <v>1213</v>
      </c>
      <c r="G450" s="253">
        <v>3837500</v>
      </c>
      <c r="H450" s="263"/>
      <c r="I450" s="263" t="s">
        <v>1231</v>
      </c>
    </row>
    <row r="451" spans="2:9" ht="15.75" customHeight="1">
      <c r="B451" s="263">
        <v>1200</v>
      </c>
      <c r="C451" s="263" t="s">
        <v>1652</v>
      </c>
      <c r="D451" s="263">
        <v>1</v>
      </c>
      <c r="E451" s="171">
        <v>43892</v>
      </c>
      <c r="F451" s="225" t="s">
        <v>1214</v>
      </c>
      <c r="G451" s="253">
        <v>8561170</v>
      </c>
      <c r="H451" s="263"/>
      <c r="I451" s="263" t="s">
        <v>1231</v>
      </c>
    </row>
    <row r="452" spans="2:9" ht="15.75" customHeight="1">
      <c r="B452" s="263">
        <v>1201</v>
      </c>
      <c r="C452" s="263" t="s">
        <v>1653</v>
      </c>
      <c r="D452" s="263">
        <v>1</v>
      </c>
      <c r="E452" s="171">
        <v>44697</v>
      </c>
      <c r="F452" s="225" t="s">
        <v>1215</v>
      </c>
      <c r="G452" s="253">
        <v>22652090</v>
      </c>
      <c r="H452" s="263"/>
      <c r="I452" s="263" t="s">
        <v>1231</v>
      </c>
    </row>
    <row r="453" spans="2:9" ht="15.75" customHeight="1">
      <c r="B453" s="263">
        <v>1202</v>
      </c>
      <c r="C453" s="263" t="s">
        <v>1654</v>
      </c>
      <c r="D453" s="263">
        <v>2</v>
      </c>
      <c r="E453" s="171">
        <v>45222</v>
      </c>
      <c r="F453" s="225" t="s">
        <v>1216</v>
      </c>
      <c r="G453" s="253">
        <v>6170310</v>
      </c>
      <c r="H453" s="263"/>
      <c r="I453" s="263" t="s">
        <v>1231</v>
      </c>
    </row>
    <row r="454" spans="2:9" ht="15.75" customHeight="1">
      <c r="B454" s="263">
        <v>1203</v>
      </c>
      <c r="C454" s="263" t="s">
        <v>1317</v>
      </c>
      <c r="D454" s="263">
        <v>2</v>
      </c>
      <c r="E454" s="171">
        <v>45600</v>
      </c>
      <c r="F454" s="225" t="s">
        <v>1217</v>
      </c>
      <c r="G454" s="253">
        <v>2870820</v>
      </c>
      <c r="H454" s="263"/>
      <c r="I454" s="263" t="s">
        <v>1231</v>
      </c>
    </row>
    <row r="455" spans="2:9" ht="15.75" customHeight="1">
      <c r="B455" s="263">
        <v>1204</v>
      </c>
      <c r="C455" s="263" t="s">
        <v>1655</v>
      </c>
      <c r="D455" s="263">
        <v>1</v>
      </c>
      <c r="E455" s="171">
        <v>45565</v>
      </c>
      <c r="F455" s="225" t="s">
        <v>1218</v>
      </c>
      <c r="G455" s="253">
        <v>2997610</v>
      </c>
      <c r="H455" s="263"/>
      <c r="I455" s="263" t="s">
        <v>1231</v>
      </c>
    </row>
    <row r="456" spans="2:9" ht="15.75" customHeight="1">
      <c r="B456" s="263">
        <v>1205</v>
      </c>
      <c r="C456" s="263" t="s">
        <v>1656</v>
      </c>
      <c r="D456" s="263">
        <v>1</v>
      </c>
      <c r="E456" s="171">
        <v>45231</v>
      </c>
      <c r="F456" s="225" t="s">
        <v>1218</v>
      </c>
      <c r="G456" s="253">
        <v>2410500</v>
      </c>
      <c r="H456" s="263"/>
      <c r="I456" s="263" t="s">
        <v>1231</v>
      </c>
    </row>
    <row r="457" spans="2:9" ht="15.75" customHeight="1">
      <c r="B457" s="263">
        <v>1206</v>
      </c>
      <c r="C457" s="263" t="s">
        <v>1657</v>
      </c>
      <c r="D457" s="263">
        <v>1</v>
      </c>
      <c r="E457" s="171">
        <v>44440</v>
      </c>
      <c r="F457" s="225" t="s">
        <v>1218</v>
      </c>
      <c r="G457" s="253">
        <v>17150150</v>
      </c>
      <c r="H457" s="263"/>
      <c r="I457" s="263" t="s">
        <v>1231</v>
      </c>
    </row>
    <row r="458" spans="2:9" ht="15.75" customHeight="1">
      <c r="B458" s="263">
        <v>1207</v>
      </c>
      <c r="C458" s="263" t="s">
        <v>1658</v>
      </c>
      <c r="D458" s="263">
        <v>1</v>
      </c>
      <c r="E458" s="171">
        <v>44494</v>
      </c>
      <c r="F458" s="225" t="s">
        <v>1218</v>
      </c>
      <c r="G458" s="253">
        <v>16327160</v>
      </c>
      <c r="H458" s="263"/>
      <c r="I458" s="263" t="s">
        <v>1231</v>
      </c>
    </row>
    <row r="459" spans="2:9" ht="15.75" customHeight="1">
      <c r="B459" s="263">
        <v>1208</v>
      </c>
      <c r="C459" s="263" t="s">
        <v>1659</v>
      </c>
      <c r="D459" s="263">
        <v>1</v>
      </c>
      <c r="E459" s="171">
        <v>44312</v>
      </c>
      <c r="F459" s="225" t="s">
        <v>1219</v>
      </c>
      <c r="G459" s="253">
        <v>11867080</v>
      </c>
      <c r="H459" s="263"/>
      <c r="I459" s="263" t="s">
        <v>1231</v>
      </c>
    </row>
    <row r="460" spans="2:9" ht="15.75" customHeight="1">
      <c r="B460" s="263">
        <v>1209</v>
      </c>
      <c r="C460" s="263" t="s">
        <v>1660</v>
      </c>
      <c r="D460" s="263">
        <v>1</v>
      </c>
      <c r="E460" s="171">
        <v>43654</v>
      </c>
      <c r="F460" s="225" t="s">
        <v>1220</v>
      </c>
      <c r="G460" s="253">
        <v>36251650</v>
      </c>
      <c r="H460" s="263"/>
      <c r="I460" s="263" t="s">
        <v>1231</v>
      </c>
    </row>
    <row r="461" spans="2:9" ht="15.75" customHeight="1">
      <c r="B461" s="263">
        <v>1210</v>
      </c>
      <c r="C461" s="263" t="s">
        <v>1661</v>
      </c>
      <c r="D461" s="263">
        <v>1</v>
      </c>
      <c r="E461" s="171">
        <v>44249</v>
      </c>
      <c r="F461" s="225" t="s">
        <v>1221</v>
      </c>
      <c r="G461" s="253">
        <v>23700050</v>
      </c>
      <c r="H461" s="263"/>
      <c r="I461" s="263" t="s">
        <v>1231</v>
      </c>
    </row>
    <row r="462" spans="2:9" ht="15.75" customHeight="1">
      <c r="B462" s="263">
        <v>1211</v>
      </c>
      <c r="C462" s="263" t="s">
        <v>1662</v>
      </c>
      <c r="D462" s="263">
        <v>1</v>
      </c>
      <c r="E462" s="171">
        <v>45581</v>
      </c>
      <c r="F462" s="225" t="s">
        <v>1222</v>
      </c>
      <c r="G462" s="253">
        <v>4814660</v>
      </c>
      <c r="H462" s="263"/>
      <c r="I462" s="263" t="s">
        <v>1231</v>
      </c>
    </row>
    <row r="463" spans="2:9" ht="15.75" customHeight="1">
      <c r="B463" s="263">
        <v>1212</v>
      </c>
      <c r="C463" s="263" t="s">
        <v>1663</v>
      </c>
      <c r="D463" s="263">
        <v>1</v>
      </c>
      <c r="E463" s="171">
        <v>44151</v>
      </c>
      <c r="F463" s="225" t="s">
        <v>1223</v>
      </c>
      <c r="G463" s="253">
        <v>5454560</v>
      </c>
      <c r="H463" s="263"/>
      <c r="I463" s="263" t="s">
        <v>1231</v>
      </c>
    </row>
    <row r="464" spans="2:9" ht="15.75" customHeight="1">
      <c r="B464" s="263">
        <v>1213</v>
      </c>
      <c r="C464" s="263" t="s">
        <v>1664</v>
      </c>
      <c r="D464" s="263">
        <v>2</v>
      </c>
      <c r="E464" s="171">
        <v>43999</v>
      </c>
      <c r="F464" s="225" t="s">
        <v>1224</v>
      </c>
      <c r="G464" s="253">
        <v>18107440</v>
      </c>
      <c r="H464" s="263"/>
      <c r="I464" s="263" t="s">
        <v>1231</v>
      </c>
    </row>
    <row r="465" spans="2:9" ht="15.75" customHeight="1">
      <c r="B465" s="263">
        <v>1214</v>
      </c>
      <c r="C465" s="263" t="s">
        <v>1665</v>
      </c>
      <c r="D465" s="263">
        <v>1</v>
      </c>
      <c r="E465" s="171">
        <v>44476</v>
      </c>
      <c r="F465" s="225" t="s">
        <v>1225</v>
      </c>
      <c r="G465" s="253">
        <v>38695590</v>
      </c>
      <c r="H465" s="263"/>
      <c r="I465" s="263" t="s">
        <v>1231</v>
      </c>
    </row>
    <row r="466" spans="2:9" ht="15.75" customHeight="1">
      <c r="B466" s="263">
        <v>1215</v>
      </c>
      <c r="C466" s="263" t="s">
        <v>1666</v>
      </c>
      <c r="D466" s="263">
        <v>2</v>
      </c>
      <c r="E466" s="171">
        <v>45300</v>
      </c>
      <c r="F466" s="225" t="s">
        <v>1225</v>
      </c>
      <c r="G466" s="253">
        <v>6531380</v>
      </c>
      <c r="H466" s="263"/>
      <c r="I466" s="263" t="s">
        <v>1231</v>
      </c>
    </row>
    <row r="467" spans="2:9" ht="15.75" customHeight="1">
      <c r="B467" s="263">
        <v>1216</v>
      </c>
      <c r="C467" s="263" t="s">
        <v>1667</v>
      </c>
      <c r="D467" s="263">
        <v>1</v>
      </c>
      <c r="E467" s="171">
        <v>44838</v>
      </c>
      <c r="F467" s="225" t="s">
        <v>1225</v>
      </c>
      <c r="G467" s="253">
        <v>13571710</v>
      </c>
      <c r="H467" s="263"/>
      <c r="I467" s="263" t="s">
        <v>1231</v>
      </c>
    </row>
    <row r="468" spans="2:9" ht="15.75" customHeight="1">
      <c r="B468" s="263">
        <v>1217</v>
      </c>
      <c r="C468" s="263" t="s">
        <v>1668</v>
      </c>
      <c r="D468" s="263">
        <v>2</v>
      </c>
      <c r="E468" s="171">
        <v>42234</v>
      </c>
      <c r="F468" s="225" t="s">
        <v>1226</v>
      </c>
      <c r="G468" s="253">
        <v>35679960</v>
      </c>
      <c r="H468" s="263"/>
      <c r="I468" s="263" t="s">
        <v>1231</v>
      </c>
    </row>
    <row r="469" spans="2:9" ht="15.75" customHeight="1">
      <c r="B469" s="263">
        <v>1218</v>
      </c>
      <c r="C469" s="263" t="s">
        <v>1669</v>
      </c>
      <c r="D469" s="263">
        <v>2</v>
      </c>
      <c r="E469" s="171">
        <v>45474</v>
      </c>
      <c r="F469" s="225" t="s">
        <v>1227</v>
      </c>
      <c r="G469" s="253">
        <v>4586310</v>
      </c>
      <c r="H469" s="263"/>
      <c r="I469" s="263" t="s">
        <v>1231</v>
      </c>
    </row>
    <row r="470" spans="2:9" ht="15.75" customHeight="1">
      <c r="B470" s="263">
        <v>1219</v>
      </c>
      <c r="C470" s="263" t="s">
        <v>1670</v>
      </c>
      <c r="D470" s="263">
        <v>2</v>
      </c>
      <c r="E470" s="171">
        <v>45461</v>
      </c>
      <c r="F470" s="225" t="s">
        <v>1227</v>
      </c>
      <c r="G470" s="253">
        <v>4201940</v>
      </c>
      <c r="H470" s="263"/>
      <c r="I470" s="263" t="s">
        <v>1231</v>
      </c>
    </row>
    <row r="471" spans="2:9" ht="15.75" customHeight="1">
      <c r="B471" s="263">
        <v>1220</v>
      </c>
      <c r="C471" s="263" t="s">
        <v>1671</v>
      </c>
      <c r="D471" s="263">
        <v>1</v>
      </c>
      <c r="E471" s="171">
        <v>44252</v>
      </c>
      <c r="F471" s="225" t="s">
        <v>1228</v>
      </c>
      <c r="G471" s="253">
        <v>20769800</v>
      </c>
      <c r="H471" s="263"/>
      <c r="I471" s="263" t="s">
        <v>1231</v>
      </c>
    </row>
    <row r="472" spans="2:9" ht="15.75" customHeight="1">
      <c r="B472" s="263">
        <v>1221</v>
      </c>
      <c r="C472" s="263" t="s">
        <v>1672</v>
      </c>
      <c r="D472" s="263">
        <v>2</v>
      </c>
      <c r="E472" s="171">
        <v>44132</v>
      </c>
      <c r="F472" s="225" t="s">
        <v>1227</v>
      </c>
      <c r="G472" s="253">
        <v>19401270</v>
      </c>
      <c r="H472" s="263"/>
      <c r="I472" s="263" t="s">
        <v>1231</v>
      </c>
    </row>
    <row r="473" spans="2:9" ht="15.75" customHeight="1">
      <c r="B473" s="263">
        <v>1222</v>
      </c>
      <c r="C473" s="263" t="s">
        <v>1673</v>
      </c>
      <c r="D473" s="263">
        <v>2</v>
      </c>
      <c r="E473" s="171">
        <v>44749</v>
      </c>
      <c r="F473" s="225" t="s">
        <v>1227</v>
      </c>
      <c r="G473" s="253">
        <v>10167560</v>
      </c>
      <c r="H473" s="263"/>
      <c r="I473" s="263" t="s">
        <v>1231</v>
      </c>
    </row>
    <row r="474" spans="2:9" ht="15.75" customHeight="1">
      <c r="B474" s="263">
        <v>1223</v>
      </c>
      <c r="C474" s="263" t="s">
        <v>1674</v>
      </c>
      <c r="D474" s="263">
        <v>2</v>
      </c>
      <c r="E474" s="171">
        <v>44749</v>
      </c>
      <c r="F474" s="225" t="s">
        <v>1227</v>
      </c>
      <c r="G474" s="253">
        <v>12513920</v>
      </c>
      <c r="H474" s="263"/>
      <c r="I474" s="263" t="s">
        <v>1231</v>
      </c>
    </row>
    <row r="475" spans="2:9" ht="15.75" customHeight="1">
      <c r="B475" s="263">
        <v>1224</v>
      </c>
      <c r="C475" s="263" t="s">
        <v>1675</v>
      </c>
      <c r="D475" s="263">
        <v>2</v>
      </c>
      <c r="E475" s="171">
        <v>44200</v>
      </c>
      <c r="F475" s="225" t="s">
        <v>1227</v>
      </c>
      <c r="G475" s="253">
        <v>16050760</v>
      </c>
      <c r="H475" s="263"/>
      <c r="I475" s="263" t="s">
        <v>1231</v>
      </c>
    </row>
    <row r="476" spans="2:9" ht="15.75" customHeight="1">
      <c r="B476" s="263">
        <v>1225</v>
      </c>
      <c r="C476" s="263" t="s">
        <v>1676</v>
      </c>
      <c r="D476" s="263">
        <v>2</v>
      </c>
      <c r="E476" s="171">
        <v>44123</v>
      </c>
      <c r="F476" s="225" t="s">
        <v>1229</v>
      </c>
      <c r="G476" s="253">
        <v>18375650</v>
      </c>
      <c r="H476" s="263"/>
      <c r="I476" s="263" t="s">
        <v>1231</v>
      </c>
    </row>
    <row r="477" spans="2:9" ht="15.75" customHeight="1">
      <c r="B477" s="263">
        <v>1226</v>
      </c>
      <c r="C477" s="263" t="s">
        <v>1677</v>
      </c>
      <c r="D477" s="263">
        <v>2</v>
      </c>
      <c r="E477" s="171">
        <v>44830</v>
      </c>
      <c r="F477" s="225" t="s">
        <v>1224</v>
      </c>
      <c r="G477" s="253">
        <v>11443970</v>
      </c>
      <c r="H477" s="263"/>
      <c r="I477" s="263" t="s">
        <v>1231</v>
      </c>
    </row>
    <row r="478" spans="2:9" ht="15.75" customHeight="1">
      <c r="B478" s="263">
        <v>1227</v>
      </c>
      <c r="C478" s="263" t="s">
        <v>1678</v>
      </c>
      <c r="D478" s="263">
        <v>2</v>
      </c>
      <c r="E478" s="171">
        <v>41214</v>
      </c>
      <c r="F478" s="225" t="s">
        <v>1230</v>
      </c>
      <c r="G478" s="253">
        <v>83856550</v>
      </c>
      <c r="H478" s="263"/>
      <c r="I478" s="263" t="s">
        <v>1231</v>
      </c>
    </row>
    <row r="479" spans="2:9" ht="15.75" customHeight="1">
      <c r="B479" s="263"/>
      <c r="C479" s="263"/>
      <c r="D479" s="263"/>
      <c r="E479" s="171"/>
      <c r="F479" s="225"/>
      <c r="G479" s="253"/>
      <c r="H479" s="263"/>
      <c r="I479" s="277"/>
    </row>
    <row r="480" spans="2:9" ht="15.75" customHeight="1">
      <c r="B480" s="263"/>
      <c r="C480" s="263"/>
      <c r="D480" s="263"/>
      <c r="E480" s="171"/>
      <c r="F480" s="225"/>
      <c r="G480" s="253"/>
      <c r="H480" s="263"/>
      <c r="I480" s="277"/>
    </row>
    <row r="481" spans="2:9" ht="15.75" customHeight="1">
      <c r="B481" s="263"/>
      <c r="C481" s="263"/>
      <c r="D481" s="263"/>
      <c r="E481" s="171"/>
      <c r="F481" s="225"/>
      <c r="G481" s="253"/>
      <c r="H481" s="263"/>
      <c r="I481" s="277"/>
    </row>
    <row r="482" spans="2:9" ht="15.75" customHeight="1">
      <c r="B482" s="263"/>
      <c r="C482" s="263"/>
      <c r="D482" s="263"/>
      <c r="E482" s="171"/>
      <c r="F482" s="225"/>
      <c r="G482" s="253"/>
      <c r="H482" s="263"/>
      <c r="I482" s="277"/>
    </row>
    <row r="483" spans="2:9" ht="15.75" customHeight="1">
      <c r="B483" s="263"/>
      <c r="C483" s="263"/>
      <c r="D483" s="263"/>
      <c r="E483" s="171"/>
      <c r="F483" s="225"/>
      <c r="G483" s="253"/>
      <c r="H483" s="263"/>
      <c r="I483" s="277"/>
    </row>
    <row r="484" spans="2:9" ht="15.75" customHeight="1">
      <c r="B484" s="263"/>
      <c r="C484" s="263"/>
      <c r="D484" s="263"/>
      <c r="E484" s="171"/>
      <c r="F484" s="225"/>
      <c r="G484" s="253"/>
      <c r="H484" s="263"/>
      <c r="I484" s="277"/>
    </row>
    <row r="485" spans="2:9" ht="15.75" customHeight="1">
      <c r="B485" s="263"/>
      <c r="C485" s="263"/>
      <c r="D485" s="263"/>
      <c r="E485" s="171"/>
      <c r="F485" s="225"/>
      <c r="G485" s="253"/>
      <c r="H485" s="263"/>
      <c r="I485" s="277"/>
    </row>
    <row r="486" spans="2:9" ht="15.75" customHeight="1">
      <c r="B486" s="263"/>
      <c r="C486" s="263"/>
      <c r="D486" s="263"/>
      <c r="E486" s="171"/>
      <c r="F486" s="225"/>
      <c r="G486" s="253"/>
      <c r="H486" s="263"/>
      <c r="I486" s="277"/>
    </row>
    <row r="487" spans="2:9" ht="15.75" customHeight="1">
      <c r="B487" s="263"/>
      <c r="C487" s="263"/>
      <c r="D487" s="263"/>
      <c r="E487" s="171"/>
      <c r="F487" s="225"/>
      <c r="G487" s="253"/>
      <c r="H487" s="263"/>
      <c r="I487" s="277"/>
    </row>
    <row r="488" spans="2:9" ht="15.75" customHeight="1">
      <c r="B488" s="263"/>
      <c r="C488" s="263"/>
      <c r="D488" s="263"/>
      <c r="E488" s="171"/>
      <c r="F488" s="225"/>
      <c r="G488" s="253"/>
      <c r="H488" s="263"/>
      <c r="I488" s="277"/>
    </row>
    <row r="489" spans="2:9" ht="15.75" customHeight="1">
      <c r="B489" s="263"/>
      <c r="C489" s="263"/>
      <c r="D489" s="263"/>
      <c r="E489" s="171"/>
      <c r="F489" s="225"/>
      <c r="G489" s="253"/>
      <c r="H489" s="263"/>
      <c r="I489" s="277"/>
    </row>
    <row r="490" spans="2:9" ht="15.75" customHeight="1">
      <c r="B490" s="263"/>
      <c r="C490" s="263"/>
      <c r="D490" s="263"/>
      <c r="E490" s="171"/>
      <c r="F490" s="225"/>
      <c r="G490" s="253"/>
      <c r="H490" s="263"/>
      <c r="I490" s="277"/>
    </row>
    <row r="491" spans="2:9" ht="15.75" customHeight="1">
      <c r="B491" s="263"/>
      <c r="C491" s="263"/>
      <c r="D491" s="263"/>
      <c r="E491" s="171"/>
      <c r="F491" s="225"/>
      <c r="G491" s="253"/>
      <c r="H491" s="263"/>
      <c r="I491" s="277"/>
    </row>
    <row r="492" spans="2:9" ht="15.75" customHeight="1">
      <c r="B492" s="263"/>
      <c r="C492" s="263"/>
      <c r="D492" s="263"/>
      <c r="E492" s="171"/>
      <c r="F492" s="225"/>
      <c r="G492" s="253"/>
      <c r="H492" s="263"/>
      <c r="I492" s="277"/>
    </row>
    <row r="493" spans="2:9" ht="15.75" customHeight="1">
      <c r="B493" s="263"/>
      <c r="C493" s="263"/>
      <c r="D493" s="263"/>
      <c r="E493" s="171"/>
      <c r="F493" s="225"/>
      <c r="G493" s="253"/>
      <c r="H493" s="263"/>
      <c r="I493" s="277"/>
    </row>
    <row r="494" spans="2:9" ht="15.75" customHeight="1">
      <c r="B494" s="263"/>
      <c r="C494" s="263"/>
      <c r="D494" s="263"/>
      <c r="E494" s="171"/>
      <c r="F494" s="225"/>
      <c r="G494" s="253"/>
      <c r="H494" s="263"/>
      <c r="I494" s="277"/>
    </row>
    <row r="495" spans="2:9" ht="15.75" customHeight="1">
      <c r="B495" s="263"/>
      <c r="C495" s="263"/>
      <c r="D495" s="263"/>
      <c r="E495" s="171"/>
      <c r="F495" s="225"/>
      <c r="G495" s="253"/>
      <c r="H495" s="263"/>
      <c r="I495" s="277"/>
    </row>
    <row r="496" spans="2:9" ht="15.75" customHeight="1">
      <c r="B496" s="263"/>
      <c r="C496" s="263"/>
      <c r="D496" s="263"/>
      <c r="E496" s="171"/>
      <c r="F496" s="225"/>
      <c r="G496" s="253"/>
      <c r="H496" s="263"/>
      <c r="I496" s="277"/>
    </row>
    <row r="497" spans="2:9" ht="15.75" customHeight="1">
      <c r="B497" s="263"/>
      <c r="C497" s="263"/>
      <c r="D497" s="263"/>
      <c r="E497" s="171"/>
      <c r="F497" s="225"/>
      <c r="G497" s="253"/>
      <c r="H497" s="263"/>
      <c r="I497" s="277"/>
    </row>
    <row r="498" spans="2:9" ht="15.75" customHeight="1">
      <c r="B498" s="263"/>
      <c r="C498" s="263"/>
      <c r="D498" s="263"/>
      <c r="E498" s="171"/>
      <c r="F498" s="225"/>
      <c r="G498" s="253"/>
      <c r="H498" s="263"/>
      <c r="I498" s="277"/>
    </row>
    <row r="499" spans="2:9" ht="15.75" customHeight="1">
      <c r="B499" s="263"/>
      <c r="C499" s="263"/>
      <c r="D499" s="263"/>
      <c r="E499" s="171"/>
      <c r="F499" s="225"/>
      <c r="G499" s="253"/>
      <c r="H499" s="263"/>
      <c r="I499" s="277"/>
    </row>
    <row r="500" spans="2:9" ht="15.75" customHeight="1">
      <c r="B500" s="263"/>
      <c r="C500" s="263"/>
      <c r="D500" s="263"/>
      <c r="E500" s="171"/>
      <c r="F500" s="225"/>
      <c r="G500" s="253"/>
      <c r="H500" s="263"/>
      <c r="I500" s="277"/>
    </row>
    <row r="501" spans="2:9" ht="15.75" customHeight="1">
      <c r="B501" s="263"/>
      <c r="C501" s="263"/>
      <c r="D501" s="263"/>
      <c r="E501" s="171"/>
      <c r="F501" s="225"/>
      <c r="G501" s="253"/>
      <c r="H501" s="263"/>
      <c r="I501" s="277"/>
    </row>
    <row r="502" spans="2:9" ht="15.75" customHeight="1">
      <c r="B502" s="263"/>
      <c r="C502" s="263"/>
      <c r="D502" s="263"/>
      <c r="E502" s="171"/>
      <c r="F502" s="225"/>
      <c r="G502" s="253"/>
      <c r="H502" s="263"/>
      <c r="I502" s="277"/>
    </row>
    <row r="503" spans="2:9" ht="15.75" customHeight="1">
      <c r="B503" s="263"/>
      <c r="C503" s="263"/>
      <c r="D503" s="263"/>
      <c r="E503" s="171"/>
      <c r="F503" s="225"/>
      <c r="G503" s="253"/>
      <c r="H503" s="263"/>
      <c r="I503" s="277"/>
    </row>
    <row r="504" spans="2:9" ht="15.75" customHeight="1">
      <c r="B504" s="263"/>
      <c r="C504" s="263"/>
      <c r="D504" s="263"/>
      <c r="E504" s="171"/>
      <c r="F504" s="225"/>
      <c r="G504" s="253"/>
      <c r="H504" s="263"/>
      <c r="I504" s="277"/>
    </row>
    <row r="505" spans="2:9" ht="15.75" customHeight="1">
      <c r="B505" s="263"/>
      <c r="C505" s="263"/>
      <c r="D505" s="263"/>
      <c r="E505" s="171"/>
      <c r="F505" s="225"/>
      <c r="G505" s="253"/>
      <c r="H505" s="263"/>
      <c r="I505" s="278"/>
    </row>
    <row r="506" spans="2:9" ht="15.75" customHeight="1">
      <c r="B506" s="263"/>
      <c r="C506" s="263"/>
      <c r="D506" s="263"/>
      <c r="E506" s="171"/>
      <c r="F506" s="225"/>
      <c r="G506" s="253"/>
      <c r="H506" s="263"/>
      <c r="I506" s="278"/>
    </row>
    <row r="507" spans="2:9" ht="15.75" customHeight="1">
      <c r="B507" s="263"/>
      <c r="C507" s="263"/>
      <c r="D507" s="263"/>
      <c r="E507" s="171"/>
      <c r="F507" s="225"/>
      <c r="G507" s="253"/>
      <c r="H507" s="263"/>
      <c r="I507" s="278"/>
    </row>
    <row r="508" spans="2:9" ht="15.75" customHeight="1">
      <c r="B508" s="263"/>
      <c r="C508" s="263"/>
      <c r="D508" s="263"/>
      <c r="E508" s="171"/>
      <c r="F508" s="225"/>
      <c r="G508" s="253"/>
      <c r="H508" s="263"/>
      <c r="I508" s="278"/>
    </row>
    <row r="509" spans="2:9" ht="15.75" customHeight="1">
      <c r="B509" s="263"/>
      <c r="C509" s="263"/>
      <c r="D509" s="263"/>
      <c r="E509" s="171"/>
      <c r="F509" s="225"/>
      <c r="G509" s="253"/>
      <c r="H509" s="263"/>
      <c r="I509" s="278"/>
    </row>
    <row r="510" spans="2:9" ht="15.75" customHeight="1">
      <c r="B510" s="263"/>
      <c r="C510" s="263"/>
      <c r="D510" s="263"/>
      <c r="E510" s="171"/>
      <c r="F510" s="225"/>
      <c r="G510" s="253"/>
      <c r="H510" s="263"/>
      <c r="I510" s="278"/>
    </row>
  </sheetData>
  <autoFilter ref="B1:J1"/>
  <customSheetViews>
    <customSheetView guid="{43483F5C-8E8A-4730-B6D4-5C852E982BE9}">
      <pageMargins left="0.43307086614173229" right="0.27559055118110237" top="0.51181102362204722" bottom="0.74803149606299213" header="0.31496062992125984" footer="0.31496062992125984"/>
      <pageSetup paperSize="9" scale="57" fitToHeight="0" orientation="portrait" r:id="rId1"/>
      <headerFooter>
        <oddFooter>&amp;L&amp;G&amp;C&amp;A&amp;R&amp;P</oddFooter>
      </headerFooter>
    </customSheetView>
    <customSheetView guid="{D547A7EF-E679-4E79-95F6-4600943823D7}" showPageBreaks="1">
      <pageMargins left="0.43307086614173229" right="0.27559055118110237" top="0.94" bottom="0.74803149606299213" header="0.31496062992125984" footer="0.31496062992125984"/>
      <pageSetup paperSize="9" scale="57" fitToHeight="0" orientation="portrait" r:id="rId2"/>
      <headerFooter>
        <oddFooter>&amp;L&amp;G&amp;C&amp;A&amp;R&amp;P</oddFooter>
      </headerFooter>
    </customSheetView>
  </customSheetViews>
  <phoneticPr fontId="7" type="noConversion"/>
  <pageMargins left="0.43307086614173229" right="0.27559055118110237" top="0.51181102362204722" bottom="0.74803149606299213" header="0.31496062992125984" footer="0.31496062992125984"/>
  <pageSetup paperSize="9" scale="57" fitToHeight="0" orientation="portrait" r:id="rId3"/>
  <headerFooter>
    <oddFooter>&amp;L&amp;G&amp;C&amp;A&amp;R&amp;P</oddFooter>
  </headerFooter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8" tint="0.39997558519241921"/>
  </sheetPr>
  <dimension ref="A1:K21"/>
  <sheetViews>
    <sheetView tabSelected="1" zoomScaleNormal="100" zoomScaleSheetLayoutView="70" workbookViewId="0">
      <selection activeCell="B2" sqref="B2:B7"/>
    </sheetView>
  </sheetViews>
  <sheetFormatPr defaultRowHeight="16.5" customHeight="1"/>
  <cols>
    <col min="1" max="1" width="34.59765625" customWidth="1"/>
    <col min="2" max="2" width="11.19921875" customWidth="1"/>
    <col min="3" max="3" width="11.59765625" customWidth="1"/>
    <col min="4" max="4" width="11.19921875" customWidth="1"/>
    <col min="5" max="5" width="11.59765625" customWidth="1"/>
    <col min="6" max="6" width="10.3984375" customWidth="1"/>
    <col min="7" max="7" width="12.59765625" customWidth="1"/>
    <col min="8" max="8" width="13.59765625" customWidth="1"/>
    <col min="9" max="9" width="11.59765625" customWidth="1"/>
    <col min="10" max="10" width="18.59765625" customWidth="1"/>
    <col min="11" max="11" width="11.59765625" customWidth="1"/>
  </cols>
  <sheetData>
    <row r="1" spans="1:11" ht="46.5" customHeight="1">
      <c r="A1" s="18" t="s">
        <v>356</v>
      </c>
      <c r="B1" s="17" t="s">
        <v>357</v>
      </c>
      <c r="C1" s="257" t="s">
        <v>358</v>
      </c>
      <c r="D1" s="257" t="s">
        <v>359</v>
      </c>
      <c r="E1" s="7" t="s">
        <v>360</v>
      </c>
      <c r="F1" s="7" t="s">
        <v>361</v>
      </c>
      <c r="G1" s="7" t="s">
        <v>362</v>
      </c>
      <c r="H1" s="257" t="s">
        <v>363</v>
      </c>
      <c r="I1" s="257" t="s">
        <v>364</v>
      </c>
      <c r="J1" s="257" t="s">
        <v>365</v>
      </c>
      <c r="K1" s="257" t="s">
        <v>366</v>
      </c>
    </row>
    <row r="2" spans="1:11" ht="16.5" customHeight="1">
      <c r="A2" s="11" t="s">
        <v>7</v>
      </c>
      <c r="B2" s="263">
        <v>1228</v>
      </c>
      <c r="C2" s="263" t="s">
        <v>1679</v>
      </c>
      <c r="D2" s="263">
        <v>1</v>
      </c>
      <c r="E2" s="171">
        <v>44116</v>
      </c>
      <c r="F2" s="225" t="s">
        <v>1175</v>
      </c>
      <c r="G2" s="253">
        <v>24412870</v>
      </c>
      <c r="H2" s="255"/>
      <c r="I2" s="255"/>
      <c r="J2" s="255"/>
      <c r="K2" s="255"/>
    </row>
    <row r="3" spans="1:11" ht="16.5" customHeight="1">
      <c r="A3" s="3" t="s">
        <v>367</v>
      </c>
      <c r="B3" s="263">
        <v>1229</v>
      </c>
      <c r="C3" s="263" t="s">
        <v>1680</v>
      </c>
      <c r="D3" s="263">
        <v>1</v>
      </c>
      <c r="E3" s="171">
        <v>44200</v>
      </c>
      <c r="F3" s="225" t="s">
        <v>1175</v>
      </c>
      <c r="G3" s="253">
        <v>23811270</v>
      </c>
      <c r="H3" s="255"/>
      <c r="I3" s="255"/>
      <c r="J3" s="255"/>
      <c r="K3" s="255"/>
    </row>
    <row r="4" spans="1:11" ht="16.5" customHeight="1">
      <c r="A4" s="16" t="s">
        <v>368</v>
      </c>
      <c r="B4" s="263">
        <v>1230</v>
      </c>
      <c r="C4" s="263" t="s">
        <v>1681</v>
      </c>
      <c r="D4" s="263">
        <v>2</v>
      </c>
      <c r="E4" s="171">
        <v>44832</v>
      </c>
      <c r="F4" s="225" t="s">
        <v>1175</v>
      </c>
      <c r="G4" s="253">
        <v>11651250</v>
      </c>
      <c r="H4" s="255"/>
      <c r="I4" s="255"/>
      <c r="J4" s="255"/>
      <c r="K4" s="255"/>
    </row>
    <row r="5" spans="1:11" ht="16.5" customHeight="1">
      <c r="A5" s="10" t="s">
        <v>369</v>
      </c>
      <c r="B5" s="263">
        <v>1231</v>
      </c>
      <c r="C5" s="263" t="s">
        <v>1682</v>
      </c>
      <c r="D5" s="263">
        <v>2</v>
      </c>
      <c r="E5" s="171">
        <v>44833</v>
      </c>
      <c r="F5" s="225" t="s">
        <v>1175</v>
      </c>
      <c r="G5" s="253">
        <v>12049560</v>
      </c>
      <c r="H5" s="255"/>
      <c r="I5" s="255"/>
      <c r="J5" s="255"/>
      <c r="K5" s="255"/>
    </row>
    <row r="6" spans="1:11" ht="16.5" customHeight="1">
      <c r="A6" s="7" t="s">
        <v>6</v>
      </c>
      <c r="B6" s="263">
        <v>1232</v>
      </c>
      <c r="C6" s="263" t="s">
        <v>1683</v>
      </c>
      <c r="D6" s="263">
        <v>1</v>
      </c>
      <c r="E6" s="171">
        <v>45390</v>
      </c>
      <c r="F6" s="225" t="s">
        <v>1175</v>
      </c>
      <c r="G6" s="253">
        <v>4051370</v>
      </c>
      <c r="H6" s="255"/>
      <c r="I6" s="255"/>
      <c r="J6" s="255"/>
      <c r="K6" s="255"/>
    </row>
    <row r="7" spans="1:11" ht="16.5" customHeight="1">
      <c r="A7" s="3" t="s">
        <v>5</v>
      </c>
      <c r="B7" s="263">
        <v>1233</v>
      </c>
      <c r="C7" s="263" t="s">
        <v>1684</v>
      </c>
      <c r="D7" s="263">
        <v>1</v>
      </c>
      <c r="E7" s="171">
        <v>45425</v>
      </c>
      <c r="F7" s="225" t="s">
        <v>1175</v>
      </c>
      <c r="G7" s="253">
        <v>3319940</v>
      </c>
      <c r="H7" s="255"/>
      <c r="I7" s="255"/>
      <c r="J7" s="255"/>
      <c r="K7" s="255"/>
    </row>
    <row r="8" spans="1:11" ht="16.5" customHeight="1">
      <c r="A8" s="7" t="s">
        <v>4</v>
      </c>
      <c r="B8" s="263"/>
      <c r="C8" s="263"/>
      <c r="D8" s="263"/>
      <c r="E8" s="263"/>
      <c r="F8" s="263"/>
      <c r="G8" s="263"/>
      <c r="H8" s="263"/>
      <c r="I8" s="263"/>
      <c r="J8" s="263"/>
      <c r="K8" s="263"/>
    </row>
    <row r="9" spans="1:11" ht="16.5" customHeight="1">
      <c r="A9" s="3" t="s">
        <v>3</v>
      </c>
      <c r="B9" s="256"/>
      <c r="C9" s="255"/>
      <c r="D9" s="255"/>
      <c r="E9" s="255"/>
      <c r="F9" s="2"/>
      <c r="G9" s="2"/>
      <c r="H9" s="255"/>
      <c r="I9" s="255"/>
      <c r="J9" s="255"/>
      <c r="K9" s="255"/>
    </row>
    <row r="10" spans="1:11" ht="16.5" customHeight="1">
      <c r="A10" s="3" t="s">
        <v>370</v>
      </c>
      <c r="B10" s="256"/>
      <c r="C10" s="255"/>
      <c r="D10" s="255"/>
      <c r="E10" s="255"/>
      <c r="F10" s="2"/>
      <c r="G10" s="2"/>
      <c r="H10" s="255"/>
      <c r="I10" s="255"/>
      <c r="J10" s="255"/>
      <c r="K10" s="255"/>
    </row>
    <row r="11" spans="1:11" ht="16.5" customHeight="1">
      <c r="A11" s="6" t="s">
        <v>8</v>
      </c>
      <c r="B11" s="256"/>
      <c r="C11" s="255"/>
      <c r="D11" s="255"/>
      <c r="E11" s="255"/>
      <c r="F11" s="2"/>
      <c r="G11" s="2"/>
      <c r="H11" s="255"/>
      <c r="I11" s="255"/>
      <c r="J11" s="255"/>
      <c r="K11" s="255"/>
    </row>
    <row r="12" spans="1:11" ht="16.5" customHeight="1">
      <c r="A12" s="3" t="s">
        <v>11</v>
      </c>
      <c r="B12" s="256"/>
      <c r="C12" s="255"/>
      <c r="D12" s="255"/>
      <c r="E12" s="255"/>
      <c r="F12" s="2"/>
      <c r="G12" s="2"/>
      <c r="H12" s="255"/>
      <c r="I12" s="255"/>
      <c r="J12" s="255"/>
      <c r="K12" s="255"/>
    </row>
    <row r="13" spans="1:11" ht="16.5" customHeight="1">
      <c r="A13" s="10" t="s">
        <v>2</v>
      </c>
      <c r="B13" s="256"/>
      <c r="C13" s="255"/>
      <c r="D13" s="255"/>
      <c r="E13" s="255"/>
      <c r="F13" s="2"/>
      <c r="G13" s="2"/>
      <c r="H13" s="255"/>
      <c r="I13" s="255"/>
      <c r="J13" s="255"/>
      <c r="K13" s="255"/>
    </row>
    <row r="14" spans="1:11" ht="16.5" customHeight="1">
      <c r="A14" s="5" t="s">
        <v>1</v>
      </c>
      <c r="B14" s="256"/>
      <c r="C14" s="255"/>
      <c r="D14" s="255"/>
      <c r="E14" s="255"/>
      <c r="F14" s="2"/>
      <c r="G14" s="2"/>
      <c r="H14" s="255"/>
      <c r="I14" s="255"/>
      <c r="J14" s="255"/>
      <c r="K14" s="255"/>
    </row>
    <row r="15" spans="1:11" ht="16.5" customHeight="1">
      <c r="A15" s="86" t="s">
        <v>333</v>
      </c>
      <c r="B15" s="256"/>
      <c r="C15" s="255"/>
      <c r="D15" s="255"/>
      <c r="E15" s="255"/>
      <c r="F15" s="2"/>
      <c r="G15" s="2"/>
      <c r="H15" s="255"/>
      <c r="I15" s="255"/>
      <c r="J15" s="255"/>
      <c r="K15" s="255"/>
    </row>
    <row r="16" spans="1:11" ht="16.5" customHeight="1">
      <c r="A16" s="3" t="s">
        <v>0</v>
      </c>
      <c r="B16" s="256"/>
      <c r="C16" s="255"/>
      <c r="D16" s="255"/>
      <c r="E16" s="255"/>
      <c r="F16" s="2"/>
      <c r="G16" s="2"/>
      <c r="H16" s="255"/>
      <c r="I16" s="255"/>
      <c r="J16" s="255"/>
      <c r="K16" s="255"/>
    </row>
    <row r="17" spans="1:11" ht="16.5" customHeight="1">
      <c r="A17" s="3"/>
      <c r="B17" s="256"/>
      <c r="C17" s="255"/>
      <c r="D17" s="255"/>
      <c r="E17" s="255"/>
      <c r="F17" s="2"/>
      <c r="G17" s="2"/>
      <c r="H17" s="255"/>
      <c r="I17" s="255"/>
      <c r="J17" s="255"/>
      <c r="K17" s="255"/>
    </row>
    <row r="18" spans="1:11" ht="16.5" customHeight="1">
      <c r="A18" s="3"/>
      <c r="B18" s="256"/>
      <c r="C18" s="255"/>
      <c r="D18" s="255"/>
      <c r="E18" s="255"/>
      <c r="F18" s="2"/>
      <c r="G18" s="2"/>
      <c r="H18" s="255"/>
      <c r="I18" s="255"/>
      <c r="J18" s="255"/>
      <c r="K18" s="255"/>
    </row>
    <row r="21" spans="1:11" ht="15" customHeight="1"/>
  </sheetData>
  <customSheetViews>
    <customSheetView guid="{43483F5C-8E8A-4730-B6D4-5C852E982BE9}" showPageBreaks="1" printArea="1">
      <pageMargins left="0.43307086614173229" right="0.27559055118110237" top="0.51181102362204722" bottom="0.74803149606299213" header="0.31496062992125984" footer="0.31496062992125984"/>
      <pageSetup paperSize="9" scale="57" fitToHeight="0" orientation="portrait" r:id="rId1"/>
      <headerFooter>
        <oddFooter>&amp;L&amp;G&amp;C&amp;A&amp;R&amp;P</oddFooter>
      </headerFooter>
    </customSheetView>
    <customSheetView guid="{D547A7EF-E679-4E79-95F6-4600943823D7}" showPageBreaks="1" printArea="1">
      <pageMargins left="0.43307086614173229" right="0.27559055118110237" top="1.08" bottom="0.74803149606299213" header="0.31496062992125984" footer="0.31496062992125984"/>
      <pageSetup paperSize="9" scale="57" fitToHeight="0" orientation="portrait" r:id="rId2"/>
      <headerFooter>
        <oddFooter>&amp;L&amp;G&amp;C&amp;A&amp;R&amp;P</oddFooter>
      </headerFooter>
    </customSheetView>
  </customSheetViews>
  <phoneticPr fontId="7" type="noConversion"/>
  <pageMargins left="0.43307086614173229" right="0.27559055118110237" top="0.51181102362204722" bottom="0.74803149606299213" header="0.31496062992125984" footer="0.31496062992125984"/>
  <pageSetup paperSize="9" scale="55" fitToHeight="0" orientation="portrait" r:id="rId3"/>
  <headerFooter>
    <oddFooter>&amp;L&amp;G&amp;C&amp;A&amp;R&amp;P</oddFooter>
  </headerFooter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5</vt:i4>
      </vt:variant>
    </vt:vector>
  </HeadingPairs>
  <TitlesOfParts>
    <vt:vector size="13" baseType="lpstr">
      <vt:lpstr>feedback_send</vt:lpstr>
      <vt:lpstr>(1-1) self-checklist</vt:lpstr>
      <vt:lpstr>(1-2) 기초자료_퇴직급여 </vt:lpstr>
      <vt:lpstr>(1-3) 기초자료_기타장기종업원급여</vt:lpstr>
      <vt:lpstr>(2-1) 명부 작성방법</vt:lpstr>
      <vt:lpstr>(2-2) 재직자 명부</vt:lpstr>
      <vt:lpstr>(2-3) 퇴직자 및 DC전환자 명부</vt:lpstr>
      <vt:lpstr>(2-4) 추가 명부</vt:lpstr>
      <vt:lpstr>'(1-1) self-checklist'!Print_Area</vt:lpstr>
      <vt:lpstr>'(1-2) 기초자료_퇴직급여 '!Print_Area</vt:lpstr>
      <vt:lpstr>'(2-1) 명부 작성방법'!Print_Area</vt:lpstr>
      <vt:lpstr>'(2-2) 재직자 명부'!Print_Area</vt:lpstr>
      <vt:lpstr>'(2-4) 추가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ㅛ</dc:creator>
  <cp:lastModifiedBy>B O</cp:lastModifiedBy>
  <cp:lastPrinted>2015-12-08T07:57:15Z</cp:lastPrinted>
  <dcterms:created xsi:type="dcterms:W3CDTF">2010-10-06T10:28:00Z</dcterms:created>
  <dcterms:modified xsi:type="dcterms:W3CDTF">2026-01-24T04:52:27Z</dcterms:modified>
</cp:coreProperties>
</file>